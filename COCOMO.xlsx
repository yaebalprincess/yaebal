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алькулятор" sheetId="1" r:id="rId1"/>
    <sheet name="Факторы" sheetId="2" r:id="rId2"/>
    <sheet name="Фазы" sheetId="3" r:id="rId3"/>
    <sheet name="Справочник" sheetId="4" r:id="rId4"/>
    <sheet name="Инструкция" sheetId="5" r:id="rId5"/>
    <sheet name="Списки" sheetId="6" state="hidden" r:id="rId6"/>
  </sheets>
  <definedNames>
    <definedName name="BasicA">'Калькулятор'!$M$8</definedName>
    <definedName name="BasicB">'Калькулятор'!$M$9</definedName>
    <definedName name="BasicC">'Калькулятор'!$M$10</definedName>
    <definedName name="BasicD">'Калькулятор'!$M$11</definedName>
    <definedName name="FixedCosts">'Калькулятор'!$E$12</definedName>
    <definedName name="GlobalEAF">'Факторы'!$D$23</definedName>
    <definedName name="HoursMonth">'Калькулятор'!$E$10</definedName>
    <definedName name="InterA">'Калькулятор'!$M$12</definedName>
    <definedName name="InterB">'Калькулятор'!$M$13</definedName>
    <definedName name="InterC">'Калькулятор'!$M$14</definedName>
    <definedName name="InterD">'Калькулятор'!$M$15</definedName>
    <definedName name="IsValid">'Калькулятор'!$M$6</definedName>
    <definedName name="KLOC">'Калькулятор'!$E$13</definedName>
    <definedName name="ModeList">'Списки'!$A$1:$A$3</definedName>
    <definedName name="MonthlyRate">'Калькулятор'!$E$9</definedName>
    <definedName name="NeutralEffort">'Калькулятор'!$M$16</definedName>
    <definedName name="OverheadRate">'Калькулятор'!$E$11</definedName>
    <definedName name="P_ACAP">'Списки'!$R$1:$R$6</definedName>
    <definedName name="P_AEXP">'Списки'!$T$1:$T$6</definedName>
    <definedName name="P_CPLX">'Списки'!$H$1:$H$7</definedName>
    <definedName name="P_DATA">'Списки'!$F$1:$F$5</definedName>
    <definedName name="P_LEXP">'Списки'!$Z$1:$Z$5</definedName>
    <definedName name="P_MODP">'Списки'!$AB$1:$AB$6</definedName>
    <definedName name="P_PCAP">'Списки'!$V$1:$V$6</definedName>
    <definedName name="P_RELY">'Списки'!$D$1:$D$6</definedName>
    <definedName name="P_SCED">'Списки'!$AF$1:$AF$6</definedName>
    <definedName name="P_STOR">'Списки'!$L$1:$L$5</definedName>
    <definedName name="P_TIME">'Списки'!$J$1:$J$5</definedName>
    <definedName name="P_TOOL">'Списки'!$AD$1:$AD$6</definedName>
    <definedName name="P_TURN">'Списки'!$P$1:$P$5</definedName>
    <definedName name="P_VEXP">'Списки'!$X$1:$X$5</definedName>
    <definedName name="P_VIRT">'Списки'!$N$1:$N$5</definedName>
    <definedName name="_xlnm.Print_Area" localSheetId="4">Инструкция!$A$1:$H$51</definedName>
    <definedName name="_xlnm.Print_Area" localSheetId="0">Калькулятор!$A$1:$H$38</definedName>
    <definedName name="_xlnm.Print_Area" localSheetId="3">Справочник!$A$1:$I$51</definedName>
    <definedName name="_xlnm.Print_Area" localSheetId="2">Фазы!$A$1:$L$34</definedName>
    <definedName name="_xlnm.Print_Area" localSheetId="1">Факторы!$A$1:$N$29</definedName>
    <definedName name="ProjectMode">'Калькулятор'!$E$6</definedName>
    <definedName name="ProjectTitle">'Калькулятор'!$E$5</definedName>
    <definedName name="R_ACAP">'Списки'!$Q$1:$Q$5</definedName>
    <definedName name="R_AEXP">'Списки'!$S$1:$S$5</definedName>
    <definedName name="R_CPLX">'Списки'!$G$1:$G$6</definedName>
    <definedName name="R_DATA">'Списки'!$E$1:$E$4</definedName>
    <definedName name="R_LEXP">'Списки'!$Y$1:$Y$4</definedName>
    <definedName name="R_MODP">'Списки'!$AA$1:$AA$5</definedName>
    <definedName name="R_PCAP">'Списки'!$U$1:$U$5</definedName>
    <definedName name="R_RELY">'Списки'!$C$1:$C$5</definedName>
    <definedName name="R_SCED">'Списки'!$AE$1:$AE$5</definedName>
    <definedName name="R_STOR">'Списки'!$K$1:$K$4</definedName>
    <definedName name="R_TIME">'Списки'!$I$1:$I$4</definedName>
    <definedName name="R_TOOL">'Списки'!$AC$1:$AC$5</definedName>
    <definedName name="R_TURN">'Списки'!$O$1:$O$4</definedName>
    <definedName name="R_VEXP">'Списки'!$W$1:$W$4</definedName>
    <definedName name="R_VIRT">'Списки'!$M$1:$M$4</definedName>
    <definedName name="SizeRaw">'Калькулятор'!$E$7</definedName>
    <definedName name="SizeUnit">'Калькулятор'!$E$8</definedName>
    <definedName name="UnitList">'Списки'!$B$1:$B$2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6" authorId="0">
      <text>
        <r>
          <rPr>
            <sz val="8"/>
            <color indexed="81"/>
            <rFont val="Tahoma"/>
            <family val="2"/>
          </rPr>
          <t>Органический: знакомые задачи и небольшая опытная команда. Полуразделённый: смешанный опыт и умеренные ограничения. Встроенный: жёсткие технические, аппаратные или организационные ограничения. Выбор определяется характеристиками проекта, а не только его размером.</t>
        </r>
      </text>
    </comment>
    <comment ref="E7" authorId="0">
      <text>
        <r>
          <rPr>
            <sz val="8"/>
            <color indexed="81"/>
            <rFont val="Tahoma"/>
            <family val="2"/>
          </rPr>
          <t>Введите оценку числа строк поставляемого исходного кода. 32 KLOC = 32 000 LOC. Это не функциональные точки.</t>
        </r>
      </text>
    </comment>
    <comment ref="E9" authorId="0">
      <text>
        <r>
          <rPr>
            <sz val="8"/>
            <color indexed="81"/>
            <rFont val="Tahoma"/>
            <family val="2"/>
          </rPr>
          <t>Денежная стоимость одного человеко-месяца. Все денежные результаты в рублях. При вводе полной ставки не добавляйте те же расходы повторно в накладные.</t>
        </r>
      </text>
    </comment>
    <comment ref="E11" authorId="0">
      <text>
        <r>
          <rPr>
            <sz val="8"/>
            <color indexed="81"/>
            <rFont val="Tahoma"/>
            <family val="2"/>
          </rPr>
          <t>Введите 20%, чтобы добавить 20% к трудовым затратам. Не прибавляется к фиксированным затратам.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7" authorId="0">
      <text>
        <r>
          <rPr>
            <sz val="8"/>
            <color indexed="81"/>
            <rFont val="Tahoma"/>
            <family val="2"/>
          </rPr>
          <t>Высокая требуемая надёжность увеличивает трудозатраты.</t>
        </r>
      </text>
    </comment>
    <comment ref="B8" authorId="0">
      <text>
        <r>
          <rPr>
            <sz val="8"/>
            <color indexed="81"/>
            <rFont val="Tahoma"/>
            <family val="2"/>
          </rPr>
          <t>Оценивается отношение объёма базы данных в байтах к числу строк кода: низкий &lt;10; номинальный 10–100; высокий 100–1000; очень высокий &gt;1000.</t>
        </r>
      </text>
    </comment>
    <comment ref="B9" authorId="0">
      <text>
        <r>
          <rPr>
            <sz val="8"/>
            <color indexed="81"/>
            <rFont val="Tahoma"/>
            <family val="2"/>
          </rPr>
          <t>Учитываются сложность вычислений, управления, данных и операций ввода-вывода.</t>
        </r>
      </text>
    </comment>
    <comment ref="B10" authorId="0">
      <text>
        <r>
          <rPr>
            <sz val="8"/>
            <color indexed="81"/>
            <rFont val="Tahoma"/>
            <family val="2"/>
          </rPr>
          <t>Номинальный: используется до 50% доступного времени процессора; высокий: около 70%; очень высокий: около 85%; критический: около 95%.</t>
        </r>
      </text>
    </comment>
    <comment ref="B11" authorId="0">
      <text>
        <r>
          <rPr>
            <sz val="8"/>
            <color indexed="81"/>
            <rFont val="Tahoma"/>
            <family val="2"/>
          </rPr>
          <t>Номинальный: используется до 50% доступной памяти; высокий: около 70%; очень высокий: около 85%; критический: около 95%.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Чем чаще меняется аппаратная и программная платформа, тем больше трудозатраты.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Задержка получения результатов вычислений и заданий на целевой системе; это фактор исходной модели 1981 года.</t>
        </r>
      </text>
    </comment>
    <comment ref="B14" authorId="0">
      <text>
        <r>
          <rPr>
            <sz val="8"/>
            <color indexed="81"/>
            <rFont val="Tahoma"/>
            <family val="2"/>
          </rPr>
          <t>Высокие способности аналитиков снижают трудозатраты.</t>
        </r>
      </text>
    </comment>
    <comment ref="B15" authorId="0">
      <text>
        <r>
          <rPr>
            <sz val="8"/>
            <color indexed="81"/>
            <rFont val="Tahoma"/>
            <family val="2"/>
          </rPr>
          <t>Рост опыта команды в предметной области снижает трудозатраты.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Высокие способности программистов снижают трудозатраты.</t>
        </r>
      </text>
    </comment>
    <comment ref="B17" authorId="0">
      <text>
        <r>
          <rPr>
            <sz val="8"/>
            <color indexed="81"/>
            <rFont val="Tahoma"/>
            <family val="2"/>
          </rPr>
          <t>Опыт работы с целевой аппаратной и программной платформой.</t>
        </r>
      </text>
    </comment>
    <comment ref="B18" authorId="0">
      <text>
        <r>
          <rPr>
            <sz val="8"/>
            <color indexed="81"/>
            <rFont val="Tahoma"/>
            <family val="2"/>
          </rPr>
          <t>Опыт использования выбранного языка программирования.</t>
        </r>
      </text>
    </comment>
    <comment ref="B19" authorId="0">
      <text>
        <r>
          <rPr>
            <sz val="8"/>
            <color indexed="81"/>
            <rFont val="Tahoma"/>
            <family val="2"/>
          </rPr>
          <t>Более зрелые методы разработки снижают трудозатраты.</t>
        </r>
      </text>
    </comment>
    <comment ref="B20" authorId="0">
      <text>
        <r>
          <rPr>
            <sz val="8"/>
            <color indexed="81"/>
            <rFont val="Tahoma"/>
            <family val="2"/>
          </rPr>
          <t>Более развитые средства разработки снижают трудозатраты.</t>
        </r>
      </text>
    </comment>
    <comment ref="B21" authorId="0">
      <text>
        <r>
          <rPr>
            <sz val="8"/>
            <color indexed="81"/>
            <rFont val="Tahoma"/>
            <family val="2"/>
          </rPr>
          <t>Множитель трудозатрат исходной модели: номинальный соответствует обычному графику. Это не прямая доля сокращения срока.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14" authorId="0">
      <text>
        <r>
          <rPr>
            <sz val="8"/>
            <color indexed="81"/>
            <rFont val="Tahoma"/>
            <family val="2"/>
          </rPr>
          <t>Высокая требуемая надёжность увеличивает трудозатраты.</t>
        </r>
      </text>
    </comment>
    <comment ref="B15" authorId="0">
      <text>
        <r>
          <rPr>
            <sz val="8"/>
            <color indexed="81"/>
            <rFont val="Tahoma"/>
            <family val="2"/>
          </rPr>
          <t>Оценивается отношение объёма базы данных в байтах к числу строк кода: низкий &lt;10; номинальный 10–100; высокий 100–1000; очень высокий &gt;1000.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Учитываются сложность вычислений, управления, данных и операций ввода-вывода.</t>
        </r>
      </text>
    </comment>
    <comment ref="B17" authorId="0">
      <text>
        <r>
          <rPr>
            <sz val="8"/>
            <color indexed="81"/>
            <rFont val="Tahoma"/>
            <family val="2"/>
          </rPr>
          <t>Номинальный: используется до 50% доступного времени процессора; высокий: около 70%; очень высокий: около 85%; критический: около 95%.</t>
        </r>
      </text>
    </comment>
    <comment ref="B18" authorId="0">
      <text>
        <r>
          <rPr>
            <sz val="8"/>
            <color indexed="81"/>
            <rFont val="Tahoma"/>
            <family val="2"/>
          </rPr>
          <t>Номинальный: используется до 50% доступной памяти; высокий: около 70%; очень высокий: около 85%; критический: около 95%.</t>
        </r>
      </text>
    </comment>
    <comment ref="B19" authorId="0">
      <text>
        <r>
          <rPr>
            <sz val="8"/>
            <color indexed="81"/>
            <rFont val="Tahoma"/>
            <family val="2"/>
          </rPr>
          <t>Чем чаще меняется аппаратная и программная платформа, тем больше трудозатраты.</t>
        </r>
      </text>
    </comment>
    <comment ref="B20" authorId="0">
      <text>
        <r>
          <rPr>
            <sz val="8"/>
            <color indexed="81"/>
            <rFont val="Tahoma"/>
            <family val="2"/>
          </rPr>
          <t>Задержка получения результатов вычислений и заданий на целевой системе; это фактор исходной модели 1981 года.</t>
        </r>
      </text>
    </comment>
    <comment ref="B21" authorId="0">
      <text>
        <r>
          <rPr>
            <sz val="8"/>
            <color indexed="81"/>
            <rFont val="Tahoma"/>
            <family val="2"/>
          </rPr>
          <t>Высокие способности аналитиков снижают трудозатраты.</t>
        </r>
      </text>
    </comment>
    <comment ref="B22" authorId="0">
      <text>
        <r>
          <rPr>
            <sz val="8"/>
            <color indexed="81"/>
            <rFont val="Tahoma"/>
            <family val="2"/>
          </rPr>
          <t>Рост опыта команды в предметной области снижает трудозатраты.</t>
        </r>
      </text>
    </comment>
    <comment ref="B23" authorId="0">
      <text>
        <r>
          <rPr>
            <sz val="8"/>
            <color indexed="81"/>
            <rFont val="Tahoma"/>
            <family val="2"/>
          </rPr>
          <t>Высокие способности программистов снижают трудозатраты.</t>
        </r>
      </text>
    </comment>
    <comment ref="B24" authorId="0">
      <text>
        <r>
          <rPr>
            <sz val="8"/>
            <color indexed="81"/>
            <rFont val="Tahoma"/>
            <family val="2"/>
          </rPr>
          <t>Опыт работы с целевой аппаратной и программной платформой.</t>
        </r>
      </text>
    </comment>
    <comment ref="B25" authorId="0">
      <text>
        <r>
          <rPr>
            <sz val="8"/>
            <color indexed="81"/>
            <rFont val="Tahoma"/>
            <family val="2"/>
          </rPr>
          <t>Опыт использования выбранного языка программирования.</t>
        </r>
      </text>
    </comment>
    <comment ref="B26" authorId="0">
      <text>
        <r>
          <rPr>
            <sz val="8"/>
            <color indexed="81"/>
            <rFont val="Tahoma"/>
            <family val="2"/>
          </rPr>
          <t>Более зрелые методы разработки снижают трудозатраты.</t>
        </r>
      </text>
    </comment>
    <comment ref="B27" authorId="0">
      <text>
        <r>
          <rPr>
            <sz val="8"/>
            <color indexed="81"/>
            <rFont val="Tahoma"/>
            <family val="2"/>
          </rPr>
          <t>Более развитые средства разработки снижают трудозатраты.</t>
        </r>
      </text>
    </comment>
    <comment ref="B28" authorId="0">
      <text>
        <r>
          <rPr>
            <sz val="8"/>
            <color indexed="81"/>
            <rFont val="Tahoma"/>
            <family val="2"/>
          </rPr>
          <t>Множитель трудозатрат исходной модели: номинальный соответствует обычному графику. Это не прямая доля сокращения срока.</t>
        </r>
      </text>
    </comment>
  </commentList>
</comments>
</file>

<file path=xl/sharedStrings.xml><?xml version="1.0" encoding="utf-8"?>
<sst xmlns="http://schemas.openxmlformats.org/spreadsheetml/2006/main" count="473" uniqueCount="154">
  <si>
    <t>СПРАВОЧНИК · COCOMO 81</t>
  </si>
  <si>
    <t>Открытые таблицы коэффициентов и множителей. Все промежуточные вычисления доступны в строке формул.</t>
  </si>
  <si>
    <t>01  КОЭФФИЦИЕНТЫ РЕЖИМОВ</t>
  </si>
  <si>
    <t>Тип проекта</t>
  </si>
  <si>
    <t>Базовый: a</t>
  </si>
  <si>
    <t>Базовый: b</t>
  </si>
  <si>
    <t>Базовый: c</t>
  </si>
  <si>
    <t>Базовый: d</t>
  </si>
  <si>
    <t>Уточнённый: a</t>
  </si>
  <si>
    <t>Уточнённый: b</t>
  </si>
  <si>
    <t>Уточнённый: c</t>
  </si>
  <si>
    <t>Уточнённый: d</t>
  </si>
  <si>
    <t>Органический</t>
  </si>
  <si>
    <t>Полуразделённый</t>
  </si>
  <si>
    <t>Встроенный</t>
  </si>
  <si>
    <t>Базовый: E = a × KLOC^b. Промежуточный: E = a × KLOC^b × EAF. Срок обоих уровней: T = c × E^d.</t>
  </si>
  <si>
    <t>02  МНОЖИТЕЛИ ТРУДОЗАТРАТ · 15 ФАКТОРОВ</t>
  </si>
  <si>
    <t>Код</t>
  </si>
  <si>
    <t>Фактор</t>
  </si>
  <si>
    <t>Очень низкий</t>
  </si>
  <si>
    <t>Низкий</t>
  </si>
  <si>
    <t>Номинальный</t>
  </si>
  <si>
    <t>Высокий</t>
  </si>
  <si>
    <t>Очень высокий</t>
  </si>
  <si>
    <t>Критический</t>
  </si>
  <si>
    <t>RELY</t>
  </si>
  <si>
    <t>Требуемая надёжность ПО</t>
  </si>
  <si>
    <t>—</t>
  </si>
  <si>
    <t>DATA</t>
  </si>
  <si>
    <t>Размер базы данных</t>
  </si>
  <si>
    <t>CPLX</t>
  </si>
  <si>
    <t>Сложность продукта</t>
  </si>
  <si>
    <t>TIME</t>
  </si>
  <si>
    <t>Ограничения времени выполнения</t>
  </si>
  <si>
    <t>STOR</t>
  </si>
  <si>
    <t>Ограничения оперативной памяти</t>
  </si>
  <si>
    <t>VIRT</t>
  </si>
  <si>
    <t>Изменчивость платформы</t>
  </si>
  <si>
    <t>TURN</t>
  </si>
  <si>
    <t>Время оборота заданий</t>
  </si>
  <si>
    <t>ACAP</t>
  </si>
  <si>
    <t>Способности аналитиков</t>
  </si>
  <si>
    <t>AEXP</t>
  </si>
  <si>
    <t>Опыт в предметной области</t>
  </si>
  <si>
    <t>PCAP</t>
  </si>
  <si>
    <t>Способности программистов</t>
  </si>
  <si>
    <t>VEXP</t>
  </si>
  <si>
    <t>Опыт работы с платформой</t>
  </si>
  <si>
    <t>LEXP</t>
  </si>
  <si>
    <t>Опыт работы с языком</t>
  </si>
  <si>
    <t>MODP</t>
  </si>
  <si>
    <t>Применение методов разработки</t>
  </si>
  <si>
    <t>TOOL</t>
  </si>
  <si>
    <t>Использование инструментов</t>
  </si>
  <si>
    <t>SCED</t>
  </si>
  <si>
    <t>Требуемый график разработки</t>
  </si>
  <si>
    <t>«—» означает, что такой уровень фактора отсутствует в таблице COCOMO 81; в выпадающем списке он не предлагается. EAF — произведение всех 15 множителей.</t>
  </si>
  <si>
    <t>03  ДОЛИ ТРУДОЗАТРАТ ПО СТАДИЯМ</t>
  </si>
  <si>
    <t>Размер, KLOC</t>
  </si>
  <si>
    <t>Продукт</t>
  </si>
  <si>
    <t>Детальный проект</t>
  </si>
  <si>
    <t>Код и модульные тесты</t>
  </si>
  <si>
    <t>Интеграция и тесты</t>
  </si>
  <si>
    <t>Для промежуточных размеров книга интерполирует доли по логарифму KLOC. За границами таблицы используется ближайшая строка. Доли можно заменить на листе «Фазы».</t>
  </si>
  <si>
    <t>KLOC — тысячи строк</t>
  </si>
  <si>
    <t>LOC — строки</t>
  </si>
  <si>
    <t>Общий</t>
  </si>
  <si>
    <t>COCOMO · ОЦЕНКА ПРОЕКТА</t>
  </si>
  <si>
    <t>Три уровня модели · трудозатраты, календарный срок, команда и стоимость · без макросов</t>
  </si>
  <si>
    <t>01  ПАРАМЕТРЫ ПРОЕКТА</t>
  </si>
  <si>
    <t>Название проекта</t>
  </si>
  <si>
    <t>Учебный проект</t>
  </si>
  <si>
    <t>Объём программного кода</t>
  </si>
  <si>
    <t>Единица объёма</t>
  </si>
  <si>
    <t>Стоимость 1 чел.-месяца</t>
  </si>
  <si>
    <t>Рабочих часов в месяце</t>
  </si>
  <si>
    <t>Накладные расходы, %</t>
  </si>
  <si>
    <t>Фиксированные затраты</t>
  </si>
  <si>
    <t>Размер для модели, KLOC</t>
  </si>
  <si>
    <t>Общий множитель EAF</t>
  </si>
  <si>
    <t>ФАКТОРЫ · ПРОЕКТ И СТАДИИ</t>
  </si>
  <si>
    <t>Общие оценки используются в промежуточном уровне. Детальный уровень позволяет выбрать отдельные оценки по стадиям.</t>
  </si>
  <si>
    <t>«Общий» наследует оценку из столбца C. Голубые ячейки — выпадающие списки. Пояснения факторов — в примечаниях к названиям.</t>
  </si>
  <si>
    <t>ОБЩАЯ ОЦЕНКА ПРОЕКТА</t>
  </si>
  <si>
    <t>ОЦЕНКИ ДЛЯ ДЕТАЛЬНОГО УРОВНЯ</t>
  </si>
  <si>
    <t>РАССЧИТАННЫЕ МНОЖИТЕЛИ СТАДИЙ</t>
  </si>
  <si>
    <t>Уровень</t>
  </si>
  <si>
    <t>Множитель</t>
  </si>
  <si>
    <t>EAF = произведение 15 множителей</t>
  </si>
  <si>
    <t>В базовом уровне факторы не используются. Если все стадии наследуют общие оценки, детальные трудозатраты совпадают с промежуточными. Для уточнения выберите другой уровень фактора в нужной стадии.</t>
  </si>
  <si>
    <t>В этой книге для стадий используются шкалы множителей COCOMO 81 и отдельные оценки факторов. Специальные фазовые таблицы чувствительности из лекции не проверены: лекция недоступна. Методика и границы расчёта описаны на листе «Инструкция».</t>
  </si>
  <si>
    <t>ДЕТАЛЬНЫЙ УРОВЕНЬ · СТАДИИ</t>
  </si>
  <si>
    <t>Базовая оценка без факторов × доля стадии × EAF стадии. Итог проекта — сумма трудозатрат стадий.</t>
  </si>
  <si>
    <t>Доли по умолчанию зависят от типа и размера проекта. Чтобы заменить доли, введите проценты в голубые ячейки; обе суммы должны равняться 100%.</t>
  </si>
  <si>
    <t>№</t>
  </si>
  <si>
    <t>Стадия</t>
  </si>
  <si>
    <t>Доля по таблице</t>
  </si>
  <si>
    <t>Своя доля труда</t>
  </si>
  <si>
    <t>Доля труда: итог</t>
  </si>
  <si>
    <t>Своя доля срока</t>
  </si>
  <si>
    <t>Доля срока: итог</t>
  </si>
  <si>
    <t>EAF стадии</t>
  </si>
  <si>
    <t>Труд, чел.-мес.</t>
  </si>
  <si>
    <t>Срок, мес.</t>
  </si>
  <si>
    <t>Трудовые затраты, ₽</t>
  </si>
  <si>
    <t>Полная стоимость, ₽</t>
  </si>
  <si>
    <t>Проектирование продукта</t>
  </si>
  <si>
    <t>Детальное проектирование</t>
  </si>
  <si>
    <t>Кодирование и модульные тесты</t>
  </si>
  <si>
    <t>Интеграция и тестирование</t>
  </si>
  <si>
    <t>ИТОГО</t>
  </si>
  <si>
    <t>Проверка долей труда и срока</t>
  </si>
  <si>
    <t>Срок проекта вычисляется по суммарным трудозатратам: T = c × (ΣEᵢ)^d. Сроки стадий — плановое последовательное распределение T; по умолчанию пропорциональны долям труда. Это допущение планирования, а не отдельная эмпирическая формула COCOMO.</t>
  </si>
  <si>
    <t>Полная стоимость стадии включает её трудовые затраты и пропорционально распределённые накладные и фиксированные расходы. Планирование и анализ требований до разработки отдельно не оценены; включайте их дополнительной оценкой, если они входят в задание.</t>
  </si>
  <si>
    <t>02  СРАВНЕНИЕ УРОВНЕЙ</t>
  </si>
  <si>
    <t>Уровень модели</t>
  </si>
  <si>
    <t>Труд, чел.-ч.</t>
  </si>
  <si>
    <t>Команда, чел.</t>
  </si>
  <si>
    <t>Базовый</t>
  </si>
  <si>
    <t>Промежуточный</t>
  </si>
  <si>
    <t>Детальный · по стадиям</t>
  </si>
  <si>
    <t>Стоимость = трудозатраты × ставка × (1 + накладные расходы) + фиксированные затраты.</t>
  </si>
  <si>
    <t>Команда — средняя расчётная численность; срок — календарные месяцы. Все вычисления ведутся без округления промежуточных значений.</t>
  </si>
  <si>
    <t>03  ДЕТАЛИЗАЦИЯ ПО СТАДИЯМ</t>
  </si>
  <si>
    <t>Доля труда</t>
  </si>
  <si>
    <t>EAF</t>
  </si>
  <si>
    <t>Сейчас все факторы номинальные. При одинаковых оценках стадий промежуточный и детальный уровни дают одинаковый итог.</t>
  </si>
  <si>
    <t>Лекция по ссылке недоступна (403). Использованы таблицы COCOMO 81; методика детального уровня и допущения — на листе «Инструкция».</t>
  </si>
  <si>
    <t>Настроить факторы →</t>
  </si>
  <si>
    <t>Настроить стадии →</t>
  </si>
  <si>
    <t>Коэффициенты →</t>
  </si>
  <si>
    <t>Инструкция →</t>
  </si>
  <si>
    <t>ИНСТРУКЦИЯ · МЕТОДИКА РАСЧЁТА</t>
  </si>
  <si>
    <t>Учебный калькулятор конструктивной модели стоимости COCOMO 81. Файл работает в Microsoft Excel без подключения к сети.</t>
  </si>
  <si>
    <t>01  КАК ПОЛЬЗОВАТЬСЯ</t>
  </si>
  <si>
    <t>1. На листе «Калькулятор» выберите тип проекта, введите размер кода и его единицу, стоимость человеко-месяца и часы работы. Накладные и фиксированные расходы необязательны.
2. На листе «Факторы» выберите уровни 15 факторов. Для отдельных стадий можно заменить «Общий» своей оценкой.
3. На листе «Фазы» при необходимости задайте свои доли труда и срока. В каждом случае сумма должна быть 100%. Результаты пересчитываются автоматически.</t>
  </si>
  <si>
    <t>Изменять нужно только голубые ячейки. Для процентов вводите, например, 20%. Пустая своя доля наследует автоматическое значение. Проверка ввода отклоняет недопустимые значения. При вставке некорректных данных результаты скрываются до исправления. Защита листов без пароля предохраняет формулы от случайного изменения.</t>
  </si>
  <si>
    <t>02  ФОРМУЛЫ ТРЁХ УРОВНЕЙ</t>
  </si>
  <si>
    <t>БАЗОВЫЙ
E = a × KLOC^b;   T = c × E^d</t>
  </si>
  <si>
    <t>ПРОМЕЖУТОЧНЫЙ
EAF = EM₁ × EM₂ × … × EM₁₅;   E = a × KLOC^b × EAF;   T = c × E^d</t>
  </si>
  <si>
    <t>ДЕТАЛЬНЫЙ — ПОФАЗНАЯ РЕАЛИЗАЦИЯ
E₀ = a × KLOC^b;   EAFᵢ = произведение 15 множителей стадии i;
Eᵢ = E₀ × wᵢ × EAFᵢ;   E = ΣEᵢ;   T = c × E^d;   Σwᵢ = 1</t>
  </si>
  <si>
    <t>E — человеко-месяцы; T — календарные месяцы; KLOC — тысячи строк кода. Коэффициенты a, b, c, d выбираются по типу проекта на листе «Справочник». Для детального уровня используются коэффициенты промежуточного уровня. Доли wᵢ относятся к номинальным трудозатратам до применения EAF стадии.</t>
  </si>
  <si>
    <t>Полная стоимость = E × стоимость человеко-месяца × (1 + накладные расходы) + фиксированные затраты.
Трудозатраты в часах = E × рабочих часов в месяце. Средняя численность команды = E / T.
Полная стоимость каждой стадии распределяется пропорционально её итоговым трудозатратам; сумма совпадает с полной стоимостью детального уровня. Ставка и валюта едины для всех стадий.</t>
  </si>
  <si>
    <t>03  ДЕТАЛЬНЫЙ УРОВЕНЬ: ДОПУЩЕНИЯ</t>
  </si>
  <si>
    <t>Рассчитываются четыре стадии: проектирование продукта, детальное проектирование, кодирование с модульными тестами, интеграция с тестированием. Табличные доли труда зависят от режима и размера проекта; между точками используется интерполяция по логарифму размера, вне диапазона — ближайшая точка. Можно ввести свои доли.
Для каждой стадии доступны отдельные оценки всех 15 факторов с теми же шкалами множителей COCOMO 81. Если оценки одинаковы, сумма детальных трудозатрат совпадает с промежуточным уровнем.
Длительности стадий являются плановым распределением общего срока. По умолчанию используются доли номинального труда. Можно задать свои доли срока; параллельность стадий не моделируется.</t>
  </si>
  <si>
    <t>Граница реализации: в классическом Detailed COCOMO могут использоваться специальные таблицы чувствительности факторов по стадиям. Их значения из указанной лекции получить не удалось. Здесь чувствительность задаётся отдельным выбором факторов для стадий; это явная учебная пофазная реализация, соответствие конкретному алгоритму лекции не подтверждено. Планирование и анализ требований до начала разработки отдельно не оценены.</t>
  </si>
  <si>
    <t>04  ТИПЫ ПРОЕКТОВ И ИСХОДНЫЕ ДАННЫЕ</t>
  </si>
  <si>
    <t>Органический (organic): относительно знакомые задачи, небольшая опытная команда, мягкие ограничения.
Полуразделённый (semi-detached): смешанный опыт команды, более сложные задачи и умеренные ограничения.
Встроенный (embedded): жёсткие требования, тесная связь с аппаратной системой или сильные внешние ограничения.
Тип выбирают по характеристикам проекта. Условные ориентиры размера — до 50 KLOC для органического и до 300 KLOC для полуразделённого; это ориентиры, а не автоматическое правило выбора режима.</t>
  </si>
  <si>
    <t>Начальные 32 KLOC, 100 000 ₽/чел.-мес., 160 ч/мес. и номинальные факторы — демонстрационные данные. Замените их своей оценкой. Надбавки не дублируйте, если они уже учтены в полной ставке. COCOMO 81 оценивает проект по исторической калибровке; результат — оценка, требующая проверки на данных вашей команды.</t>
  </si>
  <si>
    <t>05  КОНТРОЛЬНЫЙ ПРИМЕР</t>
  </si>
  <si>
    <t>Органический режим, 32 KLOC, все факторы номинальные, ставка 100 000 ₽, накладные и фиксированные затраты равны нулю.
Базовый: 91.331106 чел.-мес.; 13.898730 мес.; 9,133,110.64 ₽.
Промежуточный и детальный: 121.774809 чел.-мес.; 15.504289 мес.; 12,177,480.86 ₽.
Доли фаз: 16%, 24%, 38%, 22%. В формулах промежуточные результаты не округляются.</t>
  </si>
  <si>
    <t>06  ИСТОЧНИК И СООТВЕТСТВИЕ ЛЕКЦИИ</t>
  </si>
  <si>
    <t>Модель: Barry W. Boehm, Software Engineering Economics, Prentice-Hall, 1981 (COCOMO 81). Таблицы базовых и промежуточных коэффициентов и 15 множителей приведены в книге Excel для проверки. Модель COCOMO II не используется.</t>
  </si>
  <si>
    <t>Лекция из задания: https://de24.adygnet.ru/mod/resource/view.php?id=672, начиная со страницы 19. При подготовке файла сервер вернул HTTP 403; документ прочитать и сверить таблицы не удалось. Если в лекции используются другие коэффициенты или специальные фазовые таблицы, файл нужно сверить с ними перед сдачей.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</si>
</sst>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#,##0.00&quot; ₽&quot;"/>
    <numFmt numFmtId="166" formatCode="#,##0"/>
    <numFmt numFmtId="167" formatCode="0.00%"/>
    <numFmt numFmtId="168" formatCode="0.000"/>
  </numFmts>
  <fonts count="14">
    <font>
      <sz val="11"/>
      <color theme="1"/>
      <name val="Calibri"/>
      <family val="2"/>
      <scheme val="minor"/>
    </font>
    <font>
      <b/>
      <sz val="23"/>
      <color rgb="FFFFFFFF"/>
      <name val="Calibri"/>
      <family val="2"/>
      <scheme val="minor"/>
    </font>
    <font>
      <sz val="11"/>
      <color rgb="FFDBEAF3"/>
      <name val="Calibri"/>
      <family val="2"/>
      <scheme val="minor"/>
    </font>
    <font>
      <b/>
      <sz val="11"/>
      <color rgb="FF087F8C"/>
      <name val="Calibri"/>
      <family val="2"/>
      <scheme val="minor"/>
    </font>
    <font>
      <b/>
      <sz val="11"/>
      <color rgb="FF20354A"/>
      <name val="Calibri"/>
      <family val="2"/>
      <scheme val="minor"/>
    </font>
    <font>
      <sz val="11"/>
      <color rgb="FF174C8A"/>
      <name val="Calibri"/>
      <family val="2"/>
      <scheme val="minor"/>
    </font>
    <font>
      <sz val="11"/>
      <color rgb="FF20354A"/>
      <name val="Calibri"/>
      <family val="2"/>
      <scheme val="minor"/>
    </font>
    <font>
      <sz val="11"/>
      <color rgb="FF17623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61758A"/>
      <name val="Calibri"/>
      <family val="2"/>
      <scheme val="minor"/>
    </font>
    <font>
      <sz val="10"/>
      <color rgb="FF8A6000"/>
      <name val="Calibri"/>
      <family val="2"/>
      <scheme val="minor"/>
    </font>
    <font>
      <b/>
      <u/>
      <sz val="11"/>
      <color rgb="FF087F8C"/>
      <name val="Calibri"/>
      <family val="2"/>
      <scheme val="minor"/>
    </font>
    <font>
      <sz val="11"/>
      <color rgb="FF20354A"/>
      <name val="Consolas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42D4E"/>
        <bgColor indexed="64"/>
      </patternFill>
    </fill>
    <fill>
      <patternFill patternType="solid">
        <fgColor rgb="FFF0F7F8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E5F4EB"/>
        <bgColor indexed="64"/>
      </patternFill>
    </fill>
    <fill>
      <patternFill patternType="solid">
        <fgColor rgb="FF087F8C"/>
        <bgColor indexed="64"/>
      </patternFill>
    </fill>
    <fill>
      <patternFill patternType="solid">
        <fgColor rgb="FFFFF5DA"/>
        <bgColor indexed="64"/>
      </patternFill>
    </fill>
  </fills>
  <borders count="4">
    <border>
      <left/>
      <right/>
      <top/>
      <bottom/>
      <diagonal/>
    </border>
    <border>
      <left style="thin">
        <color rgb="FFAEC9EA"/>
      </left>
      <right style="thin">
        <color rgb="FFAEC9EA"/>
      </right>
      <top style="thin">
        <color rgb="FFAEC9EA"/>
      </top>
      <bottom style="thin">
        <color rgb="FFAEC9EA"/>
      </bottom>
      <diagonal/>
    </border>
    <border>
      <left style="thin">
        <color rgb="FFD9E3EC"/>
      </left>
      <right style="thin">
        <color rgb="FFD9E3EC"/>
      </right>
      <top style="thin">
        <color rgb="FFD9E3EC"/>
      </top>
      <bottom style="thin">
        <color rgb="FFD9E3E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 applyProtection="1">
      <alignment vertical="center"/>
      <protection locked="0"/>
    </xf>
    <xf numFmtId="164" fontId="6" fillId="0" borderId="2" xfId="0" applyNumberFormat="1" applyFont="1" applyBorder="1" applyAlignment="1">
      <alignment vertical="center"/>
    </xf>
    <xf numFmtId="164" fontId="5" fillId="4" borderId="1" xfId="0" applyNumberFormat="1" applyFont="1" applyFill="1" applyBorder="1" applyAlignment="1" applyProtection="1">
      <alignment vertical="center"/>
      <protection locked="0"/>
    </xf>
    <xf numFmtId="165" fontId="5" fillId="4" borderId="1" xfId="0" applyNumberFormat="1" applyFont="1" applyFill="1" applyBorder="1" applyAlignment="1" applyProtection="1">
      <alignment vertical="center"/>
      <protection locked="0"/>
    </xf>
    <xf numFmtId="166" fontId="5" fillId="4" borderId="1" xfId="0" applyNumberFormat="1" applyFont="1" applyFill="1" applyBorder="1" applyAlignment="1" applyProtection="1">
      <alignment vertical="center"/>
      <protection locked="0"/>
    </xf>
    <xf numFmtId="167" fontId="5" fillId="4" borderId="1" xfId="0" applyNumberFormat="1" applyFont="1" applyFill="1" applyBorder="1" applyAlignment="1" applyProtection="1">
      <alignment vertical="center"/>
      <protection locked="0"/>
    </xf>
    <xf numFmtId="168" fontId="6" fillId="0" borderId="2" xfId="0" applyNumberFormat="1" applyFont="1" applyBorder="1" applyAlignment="1">
      <alignment vertical="center"/>
    </xf>
    <xf numFmtId="0" fontId="7" fillId="5" borderId="0" xfId="0" applyFont="1" applyFill="1" applyAlignment="1">
      <alignment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5" fontId="6" fillId="0" borderId="2" xfId="0" applyNumberFormat="1" applyFont="1" applyBorder="1" applyAlignment="1">
      <alignment vertical="center"/>
    </xf>
    <xf numFmtId="0" fontId="9" fillId="0" borderId="0" xfId="0" applyFont="1" applyAlignment="1">
      <alignment vertical="center" wrapText="1"/>
    </xf>
    <xf numFmtId="167" fontId="6" fillId="0" borderId="2" xfId="0" applyNumberFormat="1" applyFont="1" applyBorder="1" applyAlignment="1">
      <alignment vertical="center"/>
    </xf>
    <xf numFmtId="0" fontId="10" fillId="7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166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2" fillId="3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A32A24"/>
      </font>
      <fill>
        <patternFill>
          <bgColor rgb="FFFCE8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42D4E"/>
                </a:solidFill>
                <a:latin typeface="Calibri"/>
              </a:defRPr>
            </a:pPr>
            <a:r>
              <a:rPr lang="en-US" sz="1300" baseline="0">
                <a:solidFill>
                  <a:srgbClr val="142D4E"/>
                </a:solidFill>
                <a:latin typeface="Calibri"/>
              </a:rPr>
              <a:t>Трудозатраты по стадиям, чел.-мес.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Трудозатраты</c:v>
          </c:tx>
          <c:spPr>
            <a:solidFill>
              <a:srgbClr val="087F8C"/>
            </a:solidFill>
            <a:ln>
              <a:noFill/>
            </a:ln>
          </c:spPr>
          <c:dLbls>
            <c:numFmt formatCode="0.00" sourceLinked="0"/>
            <c:showVal val="1"/>
          </c:dLbls>
          <c:cat>
            <c:strRef>
              <c:f>'Фазы'!$B$7:$B$10</c:f>
              <c:strCache>
                <c:ptCount val="4"/>
                <c:pt idx="0">
                  <c:v>Проектирование продукта</c:v>
                </c:pt>
                <c:pt idx="1">
                  <c:v>Детальное проектирование</c:v>
                </c:pt>
                <c:pt idx="2">
                  <c:v>Кодирование и модульные тесты</c:v>
                </c:pt>
                <c:pt idx="3">
                  <c:v>Интеграция и тестирование</c:v>
                </c:pt>
              </c:strCache>
            </c:strRef>
          </c:cat>
          <c:val>
            <c:numRef>
              <c:f>'Фазы'!$I$7:$I$10</c:f>
              <c:numCache>
                <c:formatCode>General</c:formatCode>
                <c:ptCount val="4"/>
                <c:pt idx="0">
                  <c:v>19.483969372204587</c:v>
                </c:pt>
                <c:pt idx="1">
                  <c:v>29.225954058306876</c:v>
                </c:pt>
                <c:pt idx="2">
                  <c:v>46.27442725898589</c:v>
                </c:pt>
                <c:pt idx="3">
                  <c:v>26.790457886781304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>
          <c:spPr>
            <a:ln>
              <a:solidFill>
                <a:srgbClr val="D9E3E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Человеко-месяцы</a:t>
                </a:r>
              </a:p>
            </c:rich>
          </c:tx>
          <c:layout/>
        </c:title>
        <c:numFmt formatCode="0.0" sourceLinked="0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9</xdr:col>
      <xdr:colOff>409575</xdr:colOff>
      <xdr:row>28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7F8C"/>
    <pageSetUpPr fitToPage="1"/>
  </sheetPr>
  <dimension ref="A1:N38"/>
  <sheetViews>
    <sheetView showGridLines="0"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3" customHeight="1" x14ac:dyDescent="0.25"/>
  <cols>
    <col min="1" max="1" width="2.7109375" customWidth="1"/>
    <col min="2" max="2" width="31.7109375" customWidth="1"/>
    <col min="3" max="6" width="15.7109375" customWidth="1"/>
    <col min="7" max="8" width="17.7109375" customWidth="1"/>
    <col min="9" max="9" width="2.7109375" customWidth="1"/>
    <col min="10" max="14" width="12.7109375" hidden="1" customWidth="1"/>
  </cols>
  <sheetData>
    <row r="1" spans="1:13" ht="39" customHeight="1" x14ac:dyDescent="0.25">
      <c r="A1" s="1" t="s">
        <v>67</v>
      </c>
      <c r="B1" s="1"/>
      <c r="C1" s="1"/>
      <c r="D1" s="1"/>
      <c r="E1" s="1"/>
      <c r="F1" s="1"/>
      <c r="G1" s="1"/>
      <c r="H1" s="1"/>
    </row>
    <row r="2" spans="1:13" ht="28" customHeight="1" x14ac:dyDescent="0.25">
      <c r="A2" s="2" t="s">
        <v>68</v>
      </c>
      <c r="B2" s="2"/>
      <c r="C2" s="2"/>
      <c r="D2" s="2"/>
      <c r="E2" s="2"/>
      <c r="F2" s="2"/>
      <c r="G2" s="2"/>
      <c r="H2" s="2"/>
    </row>
    <row r="4" spans="1:13" ht="23" customHeight="1" x14ac:dyDescent="0.25">
      <c r="B4" s="3" t="s">
        <v>69</v>
      </c>
      <c r="C4" s="3"/>
      <c r="D4" s="3"/>
      <c r="E4" s="3"/>
      <c r="F4" s="3"/>
      <c r="G4" s="3"/>
      <c r="H4" s="3"/>
    </row>
    <row r="5" spans="1:13" ht="27" customHeight="1" x14ac:dyDescent="0.25">
      <c r="B5" s="4" t="s">
        <v>70</v>
      </c>
      <c r="C5" s="4"/>
      <c r="D5" s="4"/>
      <c r="E5" s="5" t="s">
        <v>71</v>
      </c>
      <c r="F5" s="5"/>
      <c r="G5" s="5"/>
      <c r="H5" s="5"/>
    </row>
    <row r="6" spans="1:13" ht="27" customHeight="1" x14ac:dyDescent="0.25">
      <c r="B6" s="4" t="s">
        <v>3</v>
      </c>
      <c r="C6" s="4"/>
      <c r="D6" s="4"/>
      <c r="E6" s="5" t="s">
        <v>12</v>
      </c>
      <c r="F6" s="5"/>
      <c r="G6" s="5"/>
      <c r="H6" s="5"/>
      <c r="M6" s="6" t="b">
        <f>IFERROR(AND(COUNTIF(ModeList,ProjectMode)=1,ISNUMBER(KLOC),KLOC&gt;0,ISNUMBER(MonthlyRate),MonthlyRate&gt;=0,ISNUMBER(HoursMonth),HoursMonth&gt;0,HoursMonth&lt;=744,ISNUMBER(OverheadRate),OverheadRate&gt;=0,OverheadRate&lt;=10,ISNUMBER(FixedCosts),FixedCosts&gt;=0,COUNT('Факторы'!D7:D21)=15,COUNT('Факторы'!K7:N21)=60,'Фазы'!E14),FALSE)</f>
        <v>1</v>
      </c>
    </row>
    <row r="7" spans="1:13" ht="27" customHeight="1" x14ac:dyDescent="0.25">
      <c r="B7" s="4" t="s">
        <v>72</v>
      </c>
      <c r="C7" s="4"/>
      <c r="D7" s="4"/>
      <c r="E7" s="7">
        <v>32</v>
      </c>
      <c r="F7" s="7"/>
      <c r="G7" s="7"/>
      <c r="H7" s="7"/>
    </row>
    <row r="8" spans="1:13" ht="27" customHeight="1" x14ac:dyDescent="0.25">
      <c r="B8" s="4" t="s">
        <v>73</v>
      </c>
      <c r="C8" s="4"/>
      <c r="D8" s="4"/>
      <c r="E8" s="5" t="s">
        <v>64</v>
      </c>
      <c r="F8" s="5"/>
      <c r="G8" s="5"/>
      <c r="H8" s="5"/>
      <c r="M8" s="6">
        <f>IFERROR(VLOOKUP(ProjectMode,'Справочник'!$A$6:$I$8,2,FALSE),0)</f>
        <v>2.4</v>
      </c>
    </row>
    <row r="9" spans="1:13" ht="27" customHeight="1" x14ac:dyDescent="0.25">
      <c r="B9" s="4" t="s">
        <v>74</v>
      </c>
      <c r="C9" s="4"/>
      <c r="D9" s="4"/>
      <c r="E9" s="8">
        <v>100000</v>
      </c>
      <c r="F9" s="8"/>
      <c r="G9" s="8"/>
      <c r="H9" s="8"/>
      <c r="M9" s="6">
        <f>IFERROR(VLOOKUP(ProjectMode,'Справочник'!$A$6:$I$8,3,FALSE),0)</f>
        <v>1.05</v>
      </c>
    </row>
    <row r="10" spans="1:13" ht="27" customHeight="1" x14ac:dyDescent="0.25">
      <c r="B10" s="4" t="s">
        <v>75</v>
      </c>
      <c r="C10" s="4"/>
      <c r="D10" s="4"/>
      <c r="E10" s="9">
        <v>160</v>
      </c>
      <c r="F10" s="9"/>
      <c r="G10" s="9"/>
      <c r="H10" s="9"/>
      <c r="M10" s="6">
        <f>IFERROR(VLOOKUP(ProjectMode,'Справочник'!$A$6:$I$8,4,FALSE),0)</f>
        <v>2.5</v>
      </c>
    </row>
    <row r="11" spans="1:13" ht="27" customHeight="1" x14ac:dyDescent="0.25">
      <c r="B11" s="4" t="s">
        <v>76</v>
      </c>
      <c r="C11" s="4"/>
      <c r="D11" s="4"/>
      <c r="E11" s="10">
        <v>0</v>
      </c>
      <c r="F11" s="10"/>
      <c r="G11" s="10"/>
      <c r="H11" s="10"/>
      <c r="M11" s="6">
        <f>IFERROR(VLOOKUP(ProjectMode,'Справочник'!$A$6:$I$8,5,FALSE),0)</f>
        <v>0.38</v>
      </c>
    </row>
    <row r="12" spans="1:13" ht="27" customHeight="1" x14ac:dyDescent="0.25">
      <c r="B12" s="4" t="s">
        <v>77</v>
      </c>
      <c r="C12" s="4"/>
      <c r="D12" s="4"/>
      <c r="E12" s="8">
        <v>0</v>
      </c>
      <c r="F12" s="8"/>
      <c r="G12" s="8"/>
      <c r="H12" s="8"/>
      <c r="M12" s="6">
        <f>IFERROR(VLOOKUP(ProjectMode,'Справочник'!$A$6:$I$8,6,FALSE),0)</f>
        <v>3.2</v>
      </c>
    </row>
    <row r="13" spans="1:13" ht="23" customHeight="1" x14ac:dyDescent="0.25">
      <c r="B13" s="4" t="s">
        <v>78</v>
      </c>
      <c r="C13" s="4"/>
      <c r="D13" s="4"/>
      <c r="E13" s="6">
        <f>IFERROR(IF(AND(ISNUMBER(SizeRaw),SizeRaw&gt;0,COUNTIF(UnitList,SizeUnit)=1),IF(SizeUnit="LOC — строки",SizeRaw/1000,SizeRaw),""),"")</f>
        <v>32.0</v>
      </c>
      <c r="F13" s="6"/>
      <c r="G13" s="6"/>
      <c r="H13" s="6"/>
      <c r="M13" s="6">
        <f>IFERROR(VLOOKUP(ProjectMode,'Справочник'!$A$6:$I$8,7,FALSE),0)</f>
        <v>1.05</v>
      </c>
    </row>
    <row r="14" spans="1:13" ht="23" customHeight="1" x14ac:dyDescent="0.25">
      <c r="B14" s="4" t="s">
        <v>79</v>
      </c>
      <c r="C14" s="4"/>
      <c r="D14" s="4"/>
      <c r="E14" s="11">
        <f>'Факторы'!D23</f>
        <v>1</v>
      </c>
      <c r="F14" s="11"/>
      <c r="G14" s="11"/>
      <c r="H14" s="11"/>
      <c r="M14" s="6">
        <f>IFERROR(VLOOKUP(ProjectMode,'Справочник'!$A$6:$I$8,8,FALSE),0)</f>
        <v>2.5</v>
      </c>
    </row>
    <row r="15" spans="1:13" ht="23" customHeight="1" x14ac:dyDescent="0.25">
      <c r="M15" s="6">
        <f>IFERROR(VLOOKUP(ProjectMode,'Справочник'!$A$6:$I$8,9,FALSE),0)</f>
        <v>0.38</v>
      </c>
    </row>
    <row r="16" spans="1:13" ht="34" customHeight="1" x14ac:dyDescent="0.25">
      <c r="B16" s="12" t="str">
        <f>IF(IsValid,"✓ Расчёт готов. Голубые ячейки доступны для ввода.","Проверьте ввод, оценки факторов и суммы долей на листе «Фазы» (должны быть 100%).")</f>
        <v>✓ Расчёт готов. Голубые ячейки доступны для ввода.</v>
      </c>
      <c r="C16" s="12"/>
      <c r="D16" s="12"/>
      <c r="E16" s="12"/>
      <c r="F16" s="12"/>
      <c r="G16" s="12"/>
      <c r="H16" s="12"/>
      <c r="M16" s="6">
        <f>IFERROR(InterA*KLOC^InterB,0)</f>
        <v>121.77480857627866</v>
      </c>
    </row>
    <row r="18" spans="2:8" ht="23" customHeight="1" x14ac:dyDescent="0.25">
      <c r="B18" s="3" t="s">
        <v>114</v>
      </c>
      <c r="C18" s="3"/>
      <c r="D18" s="3"/>
      <c r="E18" s="3"/>
      <c r="F18" s="3"/>
      <c r="G18" s="3"/>
      <c r="H18" s="3"/>
    </row>
    <row r="19" spans="2:8" ht="40" customHeight="1" x14ac:dyDescent="0.25">
      <c r="B19" s="13" t="s">
        <v>115</v>
      </c>
      <c r="C19" s="13" t="s">
        <v>102</v>
      </c>
      <c r="D19" s="13" t="s">
        <v>116</v>
      </c>
      <c r="E19" s="13" t="s">
        <v>103</v>
      </c>
      <c r="F19" s="13" t="s">
        <v>117</v>
      </c>
      <c r="G19" s="13" t="s">
        <v>105</v>
      </c>
      <c r="H19" s="13"/>
    </row>
    <row r="20" spans="2:8" ht="34" customHeight="1" x14ac:dyDescent="0.25">
      <c r="B20" s="14" t="s">
        <v>118</v>
      </c>
      <c r="C20" s="6">
        <f>IF(IsValid,BasicA*KLOC^BasicB,"")</f>
        <v>91.33110643220898</v>
      </c>
      <c r="D20" s="6">
        <f>IF(IsValid,C20*HoursMonth,"")</f>
        <v>14612.977029153437</v>
      </c>
      <c r="E20" s="6">
        <f>IF(IsValid,BasicC*C20^BasicD,"")</f>
        <v>13.898730114383307</v>
      </c>
      <c r="F20" s="6">
        <f>IF(IsValid,C20/E20,"")</f>
        <v>6.571183531198554</v>
      </c>
      <c r="G20" s="15">
        <f>IF(IsValid,C20*MonthlyRate*(1+OverheadRate)+FixedCosts,"")</f>
        <v>9133110.643220898</v>
      </c>
      <c r="H20" s="15"/>
    </row>
    <row r="21" spans="2:8" ht="34" customHeight="1" x14ac:dyDescent="0.25">
      <c r="B21" s="14" t="s">
        <v>119</v>
      </c>
      <c r="C21" s="6">
        <f>IF(IsValid,NeutralEffort*GlobalEAF,"")</f>
        <v>121.77480857627866</v>
      </c>
      <c r="D21" s="6">
        <f>IF(IsValid,C21*HoursMonth,"")</f>
        <v>19483.969372204585</v>
      </c>
      <c r="E21" s="6">
        <f>IF(IsValid,InterC*C21^InterD,"")</f>
        <v>15.504288526992775</v>
      </c>
      <c r="F21" s="6">
        <f>IF(IsValid,C21/E21,"")</f>
        <v>7.854266151218111</v>
      </c>
      <c r="G21" s="15">
        <f>IF(IsValid,C21*MonthlyRate*(1+OverheadRate)+FixedCosts,"")</f>
        <v>12177480.857627867</v>
      </c>
      <c r="H21" s="15"/>
    </row>
    <row r="22" spans="2:8" ht="34" customHeight="1" x14ac:dyDescent="0.25">
      <c r="B22" s="14" t="s">
        <v>120</v>
      </c>
      <c r="C22" s="6">
        <f>IF(IsValid,SUM('Фазы'!I7:I10),"")</f>
        <v>121.77480857627866</v>
      </c>
      <c r="D22" s="6">
        <f>IF(IsValid,C22*HoursMonth,"")</f>
        <v>19483.969372204585</v>
      </c>
      <c r="E22" s="6">
        <f>IF(IsValid,InterC*C22^InterD,"")</f>
        <v>15.504288526992775</v>
      </c>
      <c r="F22" s="6">
        <f>IF(IsValid,C22/E22,"")</f>
        <v>7.854266151218111</v>
      </c>
      <c r="G22" s="15">
        <f>IF(IsValid,C22*MonthlyRate*(1+OverheadRate)+FixedCosts,"")</f>
        <v>12177480.857627867</v>
      </c>
      <c r="H22" s="15"/>
    </row>
    <row r="24" spans="2:8" ht="23" customHeight="1" x14ac:dyDescent="0.25">
      <c r="B24" s="16" t="s">
        <v>121</v>
      </c>
      <c r="C24" s="16"/>
      <c r="D24" s="16"/>
      <c r="E24" s="16"/>
      <c r="F24" s="16"/>
      <c r="G24" s="16"/>
      <c r="H24" s="16"/>
    </row>
    <row r="25" spans="2:8" ht="29" customHeight="1" x14ac:dyDescent="0.25">
      <c r="B25" s="16" t="s">
        <v>122</v>
      </c>
      <c r="C25" s="16"/>
      <c r="D25" s="16"/>
      <c r="E25" s="16"/>
      <c r="F25" s="16"/>
      <c r="G25" s="16"/>
      <c r="H25" s="16"/>
    </row>
    <row r="27" spans="2:8" ht="23" customHeight="1" x14ac:dyDescent="0.25">
      <c r="B27" s="3" t="s">
        <v>123</v>
      </c>
      <c r="C27" s="3"/>
      <c r="D27" s="3"/>
      <c r="E27" s="3"/>
      <c r="F27" s="3"/>
      <c r="G27" s="3"/>
      <c r="H27" s="3"/>
    </row>
    <row r="28" spans="2:8" ht="36" customHeight="1" x14ac:dyDescent="0.25">
      <c r="B28" s="13" t="s">
        <v>95</v>
      </c>
      <c r="C28" s="13" t="s">
        <v>124</v>
      </c>
      <c r="D28" s="13" t="s">
        <v>125</v>
      </c>
      <c r="E28" s="13" t="s">
        <v>102</v>
      </c>
      <c r="F28" s="13" t="s">
        <v>103</v>
      </c>
      <c r="G28" s="13" t="s">
        <v>105</v>
      </c>
      <c r="H28" s="13"/>
    </row>
    <row r="29" spans="2:8" ht="35" customHeight="1" x14ac:dyDescent="0.25">
      <c r="B29" s="14" t="s">
        <v>106</v>
      </c>
      <c r="C29" s="17">
        <f>IF(IsValid,'Фазы'!E7,"")</f>
        <v>0.16</v>
      </c>
      <c r="D29" s="11">
        <f>IF(IsValid,'Фазы'!H7,"")</f>
        <v>1</v>
      </c>
      <c r="E29" s="6">
        <f>IF(IsValid,'Фазы'!I7,"")</f>
        <v>19.483969372204587</v>
      </c>
      <c r="F29" s="6">
        <f>IF(IsValid,'Фазы'!J7,"")</f>
        <v>2.4806861643188443</v>
      </c>
      <c r="G29" s="15">
        <f>IF(IsValid,'Фазы'!L7,"")</f>
        <v>1948396.9372204586</v>
      </c>
      <c r="H29" s="15"/>
    </row>
    <row r="30" spans="2:8" ht="35" customHeight="1" x14ac:dyDescent="0.25">
      <c r="B30" s="14" t="s">
        <v>107</v>
      </c>
      <c r="C30" s="17">
        <f>IF(IsValid,'Фазы'!E8,"")</f>
        <v>0.24</v>
      </c>
      <c r="D30" s="11">
        <f>IF(IsValid,'Фазы'!H8,"")</f>
        <v>1</v>
      </c>
      <c r="E30" s="6">
        <f>IF(IsValid,'Фазы'!I8,"")</f>
        <v>29.225954058306876</v>
      </c>
      <c r="F30" s="6">
        <f>IF(IsValid,'Фазы'!J8,"")</f>
        <v>3.721029246478266</v>
      </c>
      <c r="G30" s="15">
        <f>IF(IsValid,'Фазы'!L8,"")</f>
        <v>2922595.4058306874</v>
      </c>
      <c r="H30" s="15"/>
    </row>
    <row r="31" spans="2:8" ht="35" customHeight="1" x14ac:dyDescent="0.25">
      <c r="B31" s="14" t="s">
        <v>108</v>
      </c>
      <c r="C31" s="17">
        <f>IF(IsValid,'Фазы'!E9,"")</f>
        <v>0.38</v>
      </c>
      <c r="D31" s="11">
        <f>IF(IsValid,'Фазы'!H9,"")</f>
        <v>1</v>
      </c>
      <c r="E31" s="6">
        <f>IF(IsValid,'Фазы'!I9,"")</f>
        <v>46.27442725898589</v>
      </c>
      <c r="F31" s="6">
        <f>IF(IsValid,'Фазы'!J9,"")</f>
        <v>5.891629640257254</v>
      </c>
      <c r="G31" s="15">
        <f>IF(IsValid,'Фазы'!L9,"")</f>
        <v>4627442.725898589</v>
      </c>
      <c r="H31" s="15"/>
    </row>
    <row r="32" spans="2:8" ht="35" customHeight="1" x14ac:dyDescent="0.25">
      <c r="B32" s="14" t="s">
        <v>109</v>
      </c>
      <c r="C32" s="17">
        <f>IF(IsValid,'Фазы'!E10,"")</f>
        <v>0.22</v>
      </c>
      <c r="D32" s="11">
        <f>IF(IsValid,'Фазы'!H10,"")</f>
        <v>1</v>
      </c>
      <c r="E32" s="6">
        <f>IF(IsValid,'Фазы'!I10,"")</f>
        <v>26.790457886781304</v>
      </c>
      <c r="F32" s="6">
        <f>IF(IsValid,'Фазы'!J10,"")</f>
        <v>3.4109434759384105</v>
      </c>
      <c r="G32" s="15">
        <f>IF(IsValid,'Фазы'!L10,"")</f>
        <v>2679045.7886781306</v>
      </c>
      <c r="H32" s="15"/>
    </row>
    <row r="34" spans="2:8" ht="29" customHeight="1" x14ac:dyDescent="0.25">
      <c r="B34" s="16" t="str">
        <f>IF(NOT(IsValid),"Исправьте параметры для получения результатов.",IF(ABS(C21-C22)&lt;0.00000001,"Промежуточный и детальный итоги совпадают: общие оценки стадий дают одинаковый EAF.","Детальный итог учитывает различные факторы затрат по стадиям проекта."))</f>
        <v>Промежуточный и детальный итоги совпадают: общие оценки стадий дают одинаковый EAF.</v>
      </c>
      <c r="C34" s="16"/>
      <c r="D34" s="16"/>
      <c r="E34" s="16"/>
      <c r="F34" s="16"/>
      <c r="G34" s="16"/>
      <c r="H34" s="16"/>
    </row>
    <row r="35" spans="2:8" ht="33" customHeight="1" x14ac:dyDescent="0.25">
      <c r="B35" s="18" t="s">
        <v>127</v>
      </c>
      <c r="C35" s="18"/>
      <c r="D35" s="18"/>
      <c r="E35" s="18"/>
      <c r="F35" s="18"/>
      <c r="G35" s="18"/>
      <c r="H35" s="18"/>
    </row>
    <row r="37" spans="2:8" ht="23" customHeight="1" x14ac:dyDescent="0.25">
      <c r="B37" s="19" t="s">
        <v>128</v>
      </c>
      <c r="C37" s="19"/>
      <c r="D37" s="19" t="s">
        <v>129</v>
      </c>
      <c r="E37" s="19"/>
      <c r="F37" s="19" t="s">
        <v>130</v>
      </c>
      <c r="G37" s="19"/>
      <c r="H37" s="19" t="s">
        <v>131</v>
      </c>
    </row>
    <row r="38" spans="2:8" ht="23" customHeight="1" x14ac:dyDescent="0.25">
      <c r="H38" s="19"/>
    </row>
  </sheetData>
  <sheetProtection sheet="1" objects="1" scenarios="1"/>
  <mergeCells count="43">
    <mergeCell ref="A1:H1"/>
    <mergeCell ref="A2:H2"/>
    <mergeCell ref="B4:H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6:H16"/>
    <mergeCell ref="B18:H18"/>
    <mergeCell ref="G19:H19"/>
    <mergeCell ref="G20:H20"/>
    <mergeCell ref="G21:H21"/>
    <mergeCell ref="G22:H22"/>
    <mergeCell ref="B24:H24"/>
    <mergeCell ref="B25:H25"/>
    <mergeCell ref="B27:H27"/>
    <mergeCell ref="G28:H28"/>
    <mergeCell ref="G29:H29"/>
    <mergeCell ref="G30:H30"/>
    <mergeCell ref="G31:H31"/>
    <mergeCell ref="G32:H32"/>
    <mergeCell ref="B34:H34"/>
    <mergeCell ref="B35:H35"/>
    <mergeCell ref="B37:C37"/>
    <mergeCell ref="D37:E37"/>
    <mergeCell ref="F37:G37"/>
    <mergeCell ref="H37:H38"/>
  </mergeCells>
  <conditionalFormatting sqref="B16:H16">
    <cfRule type="expression" dxfId="0" priority="1">
      <formula>NOT(IsValid)</formula>
    </cfRule>
  </conditionalFormatting>
  <conditionalFormatting sqref="C20:C22">
    <cfRule type="dataBar" priority="2">
      <dataBar>
        <cfvo type="min"/>
        <cfvo type="max"/>
        <color rgb="FFBEE6E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dataValidations count="7"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E6:H6">
      <formula1>ModeList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E8:H8">
      <formula1>UnitList</formula1>
    </dataValidation>
    <dataValidation type="decimal" showInputMessage="1" showErrorMessage="1" errorTitle="Недопустимое число" error="Введите число от 1e-06 до 1e+09." promptTitle="Числовой параметр" prompt="Введите число; разделитель зависит от настроек Excel." sqref="E7:H7">
      <formula1>1e-06</formula1>
      <formula2>1000000000</formula2>
    </dataValidation>
    <dataValidation type="decimal" showInputMessage="1" showErrorMessage="1" errorTitle="Недопустимое число" error="Введите число от 0 до 1e+12." promptTitle="Числовой параметр" prompt="Введите число; разделитель зависит от настроек Excel." sqref="E9:H9">
      <formula1>0</formula1>
      <formula2>1000000000000</formula2>
    </dataValidation>
    <dataValidation type="decimal" showInputMessage="1" showErrorMessage="1" errorTitle="Недопустимое число" error="Введите число от 1 до 744." promptTitle="Числовой параметр" prompt="Введите число; разделитель зависит от настроек Excel." sqref="E10:H10">
      <formula1>1</formula1>
      <formula2>744</formula2>
    </dataValidation>
    <dataValidation type="decimal" showInputMessage="1" showErrorMessage="1" errorTitle="Недопустимое число" error="Введите число от 0 до 10." promptTitle="Числовой параметр" prompt="Введите число; разделитель зависит от настроек Excel." sqref="E11:H11">
      <formula1>0</formula1>
      <formula2>10</formula2>
    </dataValidation>
    <dataValidation type="decimal" showInputMessage="1" showErrorMessage="1" errorTitle="Недопустимое число" error="Введите число от 0 до 1e+15." promptTitle="Числовой параметр" prompt="Введите число; разделитель зависит от настроек Excel." sqref="E12:H12">
      <formula1>0</formula1>
      <formula2>1000000000000000</formula2>
    </dataValidation>
  </dataValidations>
  <hyperlinks>
    <hyperlink ref="B37" location="'Факторы'!A1" display="Настроить факторы →"/>
    <hyperlink ref="D37" location="'Фазы'!A1" display="Настроить стадии →"/>
    <hyperlink ref="F37" location="'Справочник'!A1" display="Коэффициенты →"/>
    <hyperlink ref="H37" location="'Инструкция'!A1" display="Инструкция →"/>
  </hyperlinks>
  <pageMargins left="0.25" right="0.25" top="0.3" bottom="0.3" header="0.12" footer="0.12"/>
  <pageSetup paperSize="9" orientation="portrait"/>
  <headerFooter>
    <oddHeader>&amp;LCOCOMO 81&amp;RРасчёт проекта</oddHeader>
    <oddFooter>&amp;LГолубые ячейки — ввод&amp;RСтр. &amp;P / &amp;N</oddFooter>
  </headerFooter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BEE6E6"/>
              <x14:negativeFillColor rgb="FFFF0000"/>
              <x14:negativeBorderColor rgb="FFFF0000"/>
              <x14:axisColor rgb="FF000000"/>
            </x14:dataBar>
          </x14:cfRule>
          <xm:sqref>C20:C22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42D4E"/>
    <pageSetUpPr fitToPage="1"/>
  </sheetPr>
  <dimension ref="A1:N29"/>
  <sheetViews>
    <sheetView showGridLines="0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3" customHeight="1"/>
  <cols>
    <col min="1" max="1" width="10.7109375" customWidth="1"/>
    <col min="2" max="2" width="34.7109375" customWidth="1"/>
    <col min="3" max="3" width="21.7109375" customWidth="1"/>
    <col min="4" max="4" width="12.7109375" customWidth="1"/>
    <col min="5" max="5" width="2.7109375" customWidth="1"/>
    <col min="6" max="9" width="21.7109375" customWidth="1"/>
    <col min="10" max="10" width="2.7109375" customWidth="1"/>
    <col min="11" max="14" width="13.7109375" customWidth="1"/>
  </cols>
  <sheetData>
    <row r="1" spans="1:14" ht="39" customHeight="1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23" customHeight="1">
      <c r="A4" s="16" t="s">
        <v>82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23" customHeight="1">
      <c r="A5" s="3" t="s">
        <v>83</v>
      </c>
      <c r="B5" s="3"/>
      <c r="C5" s="3"/>
      <c r="D5" s="3"/>
      <c r="F5" s="3" t="s">
        <v>84</v>
      </c>
      <c r="G5" s="3"/>
      <c r="H5" s="3"/>
      <c r="I5" s="3"/>
      <c r="K5" s="3" t="s">
        <v>85</v>
      </c>
      <c r="L5" s="3"/>
      <c r="M5" s="3"/>
      <c r="N5" s="3"/>
    </row>
    <row r="6" spans="1:14" ht="44" customHeight="1">
      <c r="A6" s="13" t="s">
        <v>17</v>
      </c>
      <c r="B6" s="13" t="s">
        <v>18</v>
      </c>
      <c r="C6" s="13" t="s">
        <v>86</v>
      </c>
      <c r="D6" s="13" t="s">
        <v>87</v>
      </c>
      <c r="F6" s="13" t="s">
        <v>59</v>
      </c>
      <c r="G6" s="13" t="s">
        <v>60</v>
      </c>
      <c r="H6" s="13" t="s">
        <v>61</v>
      </c>
      <c r="I6" s="13" t="s">
        <v>62</v>
      </c>
      <c r="K6" s="13" t="s">
        <v>59</v>
      </c>
      <c r="L6" s="13" t="s">
        <v>60</v>
      </c>
      <c r="M6" s="13" t="s">
        <v>61</v>
      </c>
      <c r="N6" s="13" t="s">
        <v>62</v>
      </c>
    </row>
    <row r="7" spans="1:14" ht="31" customHeight="1">
      <c r="A7" s="14" t="s">
        <v>25</v>
      </c>
      <c r="B7" s="14" t="s">
        <v>26</v>
      </c>
      <c r="C7" s="5" t="s">
        <v>21</v>
      </c>
      <c r="D7" s="11">
        <f>IFERROR(IF(ISNUMBER(INDEX('Справочник'!$C$14:$H$28,1,MATCH(C7,'Справочник'!$C$13:$H$13,0))),INDEX('Справочник'!$C$14:$H$28,1,MATCH(C7,'Справочник'!$C$13:$H$13,0)),""),"")</f>
        <v>1</v>
      </c>
      <c r="F7" s="5" t="s">
        <v>66</v>
      </c>
      <c r="G7" s="5" t="s">
        <v>66</v>
      </c>
      <c r="H7" s="5" t="s">
        <v>66</v>
      </c>
      <c r="I7" s="5" t="s">
        <v>66</v>
      </c>
      <c r="K7" s="11">
        <f>IFERROR(IF(F7="Общий",D7,IF(ISNUMBER(INDEX('Справочник'!$C$14:$H$28,1,MATCH(F7,'Справочник'!$C$13:$H$13,0))),INDEX('Справочник'!$C$14:$H$28,1,MATCH(F7,'Справочник'!$C$13:$H$13,0)),"")),"")</f>
        <v>1</v>
      </c>
      <c r="L7" s="11">
        <f>IFERROR(IF(G7="Общий",D7,IF(ISNUMBER(INDEX('Справочник'!$C$14:$H$28,1,MATCH(G7,'Справочник'!$C$13:$H$13,0))),INDEX('Справочник'!$C$14:$H$28,1,MATCH(G7,'Справочник'!$C$13:$H$13,0)),"")),"")</f>
        <v>1</v>
      </c>
      <c r="M7" s="11">
        <f>IFERROR(IF(H7="Общий",D7,IF(ISNUMBER(INDEX('Справочник'!$C$14:$H$28,1,MATCH(H7,'Справочник'!$C$13:$H$13,0))),INDEX('Справочник'!$C$14:$H$28,1,MATCH(H7,'Справочник'!$C$13:$H$13,0)),"")),"")</f>
        <v>1</v>
      </c>
      <c r="N7" s="11">
        <f>IFERROR(IF(I7="Общий",D7,IF(ISNUMBER(INDEX('Справочник'!$C$14:$H$28,1,MATCH(I7,'Справочник'!$C$13:$H$13,0))),INDEX('Справочник'!$C$14:$H$28,1,MATCH(I7,'Справочник'!$C$13:$H$13,0)),"")),"")</f>
        <v>1</v>
      </c>
    </row>
    <row r="8" spans="1:14" ht="31" customHeight="1">
      <c r="A8" s="14" t="s">
        <v>28</v>
      </c>
      <c r="B8" s="14" t="s">
        <v>29</v>
      </c>
      <c r="C8" s="5" t="s">
        <v>21</v>
      </c>
      <c r="D8" s="11">
        <f>IFERROR(IF(ISNUMBER(INDEX('Справочник'!$C$14:$H$28,2,MATCH(C8,'Справочник'!$C$13:$H$13,0))),INDEX('Справочник'!$C$14:$H$28,2,MATCH(C8,'Справочник'!$C$13:$H$13,0)),""),"")</f>
        <v>1</v>
      </c>
      <c r="F8" s="5" t="s">
        <v>66</v>
      </c>
      <c r="G8" s="5" t="s">
        <v>66</v>
      </c>
      <c r="H8" s="5" t="s">
        <v>66</v>
      </c>
      <c r="I8" s="5" t="s">
        <v>66</v>
      </c>
      <c r="K8" s="11">
        <f>IFERROR(IF(F8="Общий",D8,IF(ISNUMBER(INDEX('Справочник'!$C$14:$H$28,2,MATCH(F8,'Справочник'!$C$13:$H$13,0))),INDEX('Справочник'!$C$14:$H$28,2,MATCH(F8,'Справочник'!$C$13:$H$13,0)),"")),"")</f>
        <v>1</v>
      </c>
      <c r="L8" s="11">
        <f>IFERROR(IF(G8="Общий",D8,IF(ISNUMBER(INDEX('Справочник'!$C$14:$H$28,2,MATCH(G8,'Справочник'!$C$13:$H$13,0))),INDEX('Справочник'!$C$14:$H$28,2,MATCH(G8,'Справочник'!$C$13:$H$13,0)),"")),"")</f>
        <v>1</v>
      </c>
      <c r="M8" s="11">
        <f>IFERROR(IF(H8="Общий",D8,IF(ISNUMBER(INDEX('Справочник'!$C$14:$H$28,2,MATCH(H8,'Справочник'!$C$13:$H$13,0))),INDEX('Справочник'!$C$14:$H$28,2,MATCH(H8,'Справочник'!$C$13:$H$13,0)),"")),"")</f>
        <v>1</v>
      </c>
      <c r="N8" s="11">
        <f>IFERROR(IF(I8="Общий",D8,IF(ISNUMBER(INDEX('Справочник'!$C$14:$H$28,2,MATCH(I8,'Справочник'!$C$13:$H$13,0))),INDEX('Справочник'!$C$14:$H$28,2,MATCH(I8,'Справочник'!$C$13:$H$13,0)),"")),"")</f>
        <v>1</v>
      </c>
    </row>
    <row r="9" spans="1:14" ht="31" customHeight="1">
      <c r="A9" s="14" t="s">
        <v>30</v>
      </c>
      <c r="B9" s="14" t="s">
        <v>31</v>
      </c>
      <c r="C9" s="5" t="s">
        <v>21</v>
      </c>
      <c r="D9" s="11">
        <f>IFERROR(IF(ISNUMBER(INDEX('Справочник'!$C$14:$H$28,3,MATCH(C9,'Справочник'!$C$13:$H$13,0))),INDEX('Справочник'!$C$14:$H$28,3,MATCH(C9,'Справочник'!$C$13:$H$13,0)),""),"")</f>
        <v>1</v>
      </c>
      <c r="F9" s="5" t="s">
        <v>66</v>
      </c>
      <c r="G9" s="5" t="s">
        <v>66</v>
      </c>
      <c r="H9" s="5" t="s">
        <v>66</v>
      </c>
      <c r="I9" s="5" t="s">
        <v>66</v>
      </c>
      <c r="K9" s="11">
        <f>IFERROR(IF(F9="Общий",D9,IF(ISNUMBER(INDEX('Справочник'!$C$14:$H$28,3,MATCH(F9,'Справочник'!$C$13:$H$13,0))),INDEX('Справочник'!$C$14:$H$28,3,MATCH(F9,'Справочник'!$C$13:$H$13,0)),"")),"")</f>
        <v>1</v>
      </c>
      <c r="L9" s="11">
        <f>IFERROR(IF(G9="Общий",D9,IF(ISNUMBER(INDEX('Справочник'!$C$14:$H$28,3,MATCH(G9,'Справочник'!$C$13:$H$13,0))),INDEX('Справочник'!$C$14:$H$28,3,MATCH(G9,'Справочник'!$C$13:$H$13,0)),"")),"")</f>
        <v>1</v>
      </c>
      <c r="M9" s="11">
        <f>IFERROR(IF(H9="Общий",D9,IF(ISNUMBER(INDEX('Справочник'!$C$14:$H$28,3,MATCH(H9,'Справочник'!$C$13:$H$13,0))),INDEX('Справочник'!$C$14:$H$28,3,MATCH(H9,'Справочник'!$C$13:$H$13,0)),"")),"")</f>
        <v>1</v>
      </c>
      <c r="N9" s="11">
        <f>IFERROR(IF(I9="Общий",D9,IF(ISNUMBER(INDEX('Справочник'!$C$14:$H$28,3,MATCH(I9,'Справочник'!$C$13:$H$13,0))),INDEX('Справочник'!$C$14:$H$28,3,MATCH(I9,'Справочник'!$C$13:$H$13,0)),"")),"")</f>
        <v>1</v>
      </c>
    </row>
    <row r="10" spans="1:14" ht="31" customHeight="1">
      <c r="A10" s="14" t="s">
        <v>32</v>
      </c>
      <c r="B10" s="14" t="s">
        <v>33</v>
      </c>
      <c r="C10" s="5" t="s">
        <v>21</v>
      </c>
      <c r="D10" s="11">
        <f>IFERROR(IF(ISNUMBER(INDEX('Справочник'!$C$14:$H$28,4,MATCH(C10,'Справочник'!$C$13:$H$13,0))),INDEX('Справочник'!$C$14:$H$28,4,MATCH(C10,'Справочник'!$C$13:$H$13,0)),""),"")</f>
        <v>1</v>
      </c>
      <c r="F10" s="5" t="s">
        <v>66</v>
      </c>
      <c r="G10" s="5" t="s">
        <v>66</v>
      </c>
      <c r="H10" s="5" t="s">
        <v>66</v>
      </c>
      <c r="I10" s="5" t="s">
        <v>66</v>
      </c>
      <c r="K10" s="11">
        <f>IFERROR(IF(F10="Общий",D10,IF(ISNUMBER(INDEX('Справочник'!$C$14:$H$28,4,MATCH(F10,'Справочник'!$C$13:$H$13,0))),INDEX('Справочник'!$C$14:$H$28,4,MATCH(F10,'Справочник'!$C$13:$H$13,0)),"")),"")</f>
        <v>1</v>
      </c>
      <c r="L10" s="11">
        <f>IFERROR(IF(G10="Общий",D10,IF(ISNUMBER(INDEX('Справочник'!$C$14:$H$28,4,MATCH(G10,'Справочник'!$C$13:$H$13,0))),INDEX('Справочник'!$C$14:$H$28,4,MATCH(G10,'Справочник'!$C$13:$H$13,0)),"")),"")</f>
        <v>1</v>
      </c>
      <c r="M10" s="11">
        <f>IFERROR(IF(H10="Общий",D10,IF(ISNUMBER(INDEX('Справочник'!$C$14:$H$28,4,MATCH(H10,'Справочник'!$C$13:$H$13,0))),INDEX('Справочник'!$C$14:$H$28,4,MATCH(H10,'Справочник'!$C$13:$H$13,0)),"")),"")</f>
        <v>1</v>
      </c>
      <c r="N10" s="11">
        <f>IFERROR(IF(I10="Общий",D10,IF(ISNUMBER(INDEX('Справочник'!$C$14:$H$28,4,MATCH(I10,'Справочник'!$C$13:$H$13,0))),INDEX('Справочник'!$C$14:$H$28,4,MATCH(I10,'Справочник'!$C$13:$H$13,0)),"")),"")</f>
        <v>1</v>
      </c>
    </row>
    <row r="11" spans="1:14" ht="31" customHeight="1">
      <c r="A11" s="14" t="s">
        <v>34</v>
      </c>
      <c r="B11" s="14" t="s">
        <v>35</v>
      </c>
      <c r="C11" s="5" t="s">
        <v>21</v>
      </c>
      <c r="D11" s="11">
        <f>IFERROR(IF(ISNUMBER(INDEX('Справочник'!$C$14:$H$28,5,MATCH(C11,'Справочник'!$C$13:$H$13,0))),INDEX('Справочник'!$C$14:$H$28,5,MATCH(C11,'Справочник'!$C$13:$H$13,0)),""),"")</f>
        <v>1</v>
      </c>
      <c r="F11" s="5" t="s">
        <v>66</v>
      </c>
      <c r="G11" s="5" t="s">
        <v>66</v>
      </c>
      <c r="H11" s="5" t="s">
        <v>66</v>
      </c>
      <c r="I11" s="5" t="s">
        <v>66</v>
      </c>
      <c r="K11" s="11">
        <f>IFERROR(IF(F11="Общий",D11,IF(ISNUMBER(INDEX('Справочник'!$C$14:$H$28,5,MATCH(F11,'Справочник'!$C$13:$H$13,0))),INDEX('Справочник'!$C$14:$H$28,5,MATCH(F11,'Справочник'!$C$13:$H$13,0)),"")),"")</f>
        <v>1</v>
      </c>
      <c r="L11" s="11">
        <f>IFERROR(IF(G11="Общий",D11,IF(ISNUMBER(INDEX('Справочник'!$C$14:$H$28,5,MATCH(G11,'Справочник'!$C$13:$H$13,0))),INDEX('Справочник'!$C$14:$H$28,5,MATCH(G11,'Справочник'!$C$13:$H$13,0)),"")),"")</f>
        <v>1</v>
      </c>
      <c r="M11" s="11">
        <f>IFERROR(IF(H11="Общий",D11,IF(ISNUMBER(INDEX('Справочник'!$C$14:$H$28,5,MATCH(H11,'Справочник'!$C$13:$H$13,0))),INDEX('Справочник'!$C$14:$H$28,5,MATCH(H11,'Справочник'!$C$13:$H$13,0)),"")),"")</f>
        <v>1</v>
      </c>
      <c r="N11" s="11">
        <f>IFERROR(IF(I11="Общий",D11,IF(ISNUMBER(INDEX('Справочник'!$C$14:$H$28,5,MATCH(I11,'Справочник'!$C$13:$H$13,0))),INDEX('Справочник'!$C$14:$H$28,5,MATCH(I11,'Справочник'!$C$13:$H$13,0)),"")),"")</f>
        <v>1</v>
      </c>
    </row>
    <row r="12" spans="1:14" ht="31" customHeight="1">
      <c r="A12" s="14" t="s">
        <v>36</v>
      </c>
      <c r="B12" s="14" t="s">
        <v>37</v>
      </c>
      <c r="C12" s="5" t="s">
        <v>21</v>
      </c>
      <c r="D12" s="11">
        <f>IFERROR(IF(ISNUMBER(INDEX('Справочник'!$C$14:$H$28,6,MATCH(C12,'Справочник'!$C$13:$H$13,0))),INDEX('Справочник'!$C$14:$H$28,6,MATCH(C12,'Справочник'!$C$13:$H$13,0)),""),"")</f>
        <v>1</v>
      </c>
      <c r="F12" s="5" t="s">
        <v>66</v>
      </c>
      <c r="G12" s="5" t="s">
        <v>66</v>
      </c>
      <c r="H12" s="5" t="s">
        <v>66</v>
      </c>
      <c r="I12" s="5" t="s">
        <v>66</v>
      </c>
      <c r="K12" s="11">
        <f>IFERROR(IF(F12="Общий",D12,IF(ISNUMBER(INDEX('Справочник'!$C$14:$H$28,6,MATCH(F12,'Справочник'!$C$13:$H$13,0))),INDEX('Справочник'!$C$14:$H$28,6,MATCH(F12,'Справочник'!$C$13:$H$13,0)),"")),"")</f>
        <v>1</v>
      </c>
      <c r="L12" s="11">
        <f>IFERROR(IF(G12="Общий",D12,IF(ISNUMBER(INDEX('Справочник'!$C$14:$H$28,6,MATCH(G12,'Справочник'!$C$13:$H$13,0))),INDEX('Справочник'!$C$14:$H$28,6,MATCH(G12,'Справочник'!$C$13:$H$13,0)),"")),"")</f>
        <v>1</v>
      </c>
      <c r="M12" s="11">
        <f>IFERROR(IF(H12="Общий",D12,IF(ISNUMBER(INDEX('Справочник'!$C$14:$H$28,6,MATCH(H12,'Справочник'!$C$13:$H$13,0))),INDEX('Справочник'!$C$14:$H$28,6,MATCH(H12,'Справочник'!$C$13:$H$13,0)),"")),"")</f>
        <v>1</v>
      </c>
      <c r="N12" s="11">
        <f>IFERROR(IF(I12="Общий",D12,IF(ISNUMBER(INDEX('Справочник'!$C$14:$H$28,6,MATCH(I12,'Справочник'!$C$13:$H$13,0))),INDEX('Справочник'!$C$14:$H$28,6,MATCH(I12,'Справочник'!$C$13:$H$13,0)),"")),"")</f>
        <v>1</v>
      </c>
    </row>
    <row r="13" spans="1:14" ht="31" customHeight="1">
      <c r="A13" s="14" t="s">
        <v>38</v>
      </c>
      <c r="B13" s="14" t="s">
        <v>39</v>
      </c>
      <c r="C13" s="5" t="s">
        <v>21</v>
      </c>
      <c r="D13" s="11">
        <f>IFERROR(IF(ISNUMBER(INDEX('Справочник'!$C$14:$H$28,7,MATCH(C13,'Справочник'!$C$13:$H$13,0))),INDEX('Справочник'!$C$14:$H$28,7,MATCH(C13,'Справочник'!$C$13:$H$13,0)),""),"")</f>
        <v>1</v>
      </c>
      <c r="F13" s="5" t="s">
        <v>66</v>
      </c>
      <c r="G13" s="5" t="s">
        <v>66</v>
      </c>
      <c r="H13" s="5" t="s">
        <v>66</v>
      </c>
      <c r="I13" s="5" t="s">
        <v>66</v>
      </c>
      <c r="K13" s="11">
        <f>IFERROR(IF(F13="Общий",D13,IF(ISNUMBER(INDEX('Справочник'!$C$14:$H$28,7,MATCH(F13,'Справочник'!$C$13:$H$13,0))),INDEX('Справочник'!$C$14:$H$28,7,MATCH(F13,'Справочник'!$C$13:$H$13,0)),"")),"")</f>
        <v>1</v>
      </c>
      <c r="L13" s="11">
        <f>IFERROR(IF(G13="Общий",D13,IF(ISNUMBER(INDEX('Справочник'!$C$14:$H$28,7,MATCH(G13,'Справочник'!$C$13:$H$13,0))),INDEX('Справочник'!$C$14:$H$28,7,MATCH(G13,'Справочник'!$C$13:$H$13,0)),"")),"")</f>
        <v>1</v>
      </c>
      <c r="M13" s="11">
        <f>IFERROR(IF(H13="Общий",D13,IF(ISNUMBER(INDEX('Справочник'!$C$14:$H$28,7,MATCH(H13,'Справочник'!$C$13:$H$13,0))),INDEX('Справочник'!$C$14:$H$28,7,MATCH(H13,'Справочник'!$C$13:$H$13,0)),"")),"")</f>
        <v>1</v>
      </c>
      <c r="N13" s="11">
        <f>IFERROR(IF(I13="Общий",D13,IF(ISNUMBER(INDEX('Справочник'!$C$14:$H$28,7,MATCH(I13,'Справочник'!$C$13:$H$13,0))),INDEX('Справочник'!$C$14:$H$28,7,MATCH(I13,'Справочник'!$C$13:$H$13,0)),"")),"")</f>
        <v>1</v>
      </c>
    </row>
    <row r="14" spans="1:14" ht="31" customHeight="1">
      <c r="A14" s="14" t="s">
        <v>40</v>
      </c>
      <c r="B14" s="14" t="s">
        <v>41</v>
      </c>
      <c r="C14" s="5" t="s">
        <v>21</v>
      </c>
      <c r="D14" s="11">
        <f>IFERROR(IF(ISNUMBER(INDEX('Справочник'!$C$14:$H$28,8,MATCH(C14,'Справочник'!$C$13:$H$13,0))),INDEX('Справочник'!$C$14:$H$28,8,MATCH(C14,'Справочник'!$C$13:$H$13,0)),""),"")</f>
        <v>1</v>
      </c>
      <c r="F14" s="5" t="s">
        <v>66</v>
      </c>
      <c r="G14" s="5" t="s">
        <v>66</v>
      </c>
      <c r="H14" s="5" t="s">
        <v>66</v>
      </c>
      <c r="I14" s="5" t="s">
        <v>66</v>
      </c>
      <c r="K14" s="11">
        <f>IFERROR(IF(F14="Общий",D14,IF(ISNUMBER(INDEX('Справочник'!$C$14:$H$28,8,MATCH(F14,'Справочник'!$C$13:$H$13,0))),INDEX('Справочник'!$C$14:$H$28,8,MATCH(F14,'Справочник'!$C$13:$H$13,0)),"")),"")</f>
        <v>1</v>
      </c>
      <c r="L14" s="11">
        <f>IFERROR(IF(G14="Общий",D14,IF(ISNUMBER(INDEX('Справочник'!$C$14:$H$28,8,MATCH(G14,'Справочник'!$C$13:$H$13,0))),INDEX('Справочник'!$C$14:$H$28,8,MATCH(G14,'Справочник'!$C$13:$H$13,0)),"")),"")</f>
        <v>1</v>
      </c>
      <c r="M14" s="11">
        <f>IFERROR(IF(H14="Общий",D14,IF(ISNUMBER(INDEX('Справочник'!$C$14:$H$28,8,MATCH(H14,'Справочник'!$C$13:$H$13,0))),INDEX('Справочник'!$C$14:$H$28,8,MATCH(H14,'Справочник'!$C$13:$H$13,0)),"")),"")</f>
        <v>1</v>
      </c>
      <c r="N14" s="11">
        <f>IFERROR(IF(I14="Общий",D14,IF(ISNUMBER(INDEX('Справочник'!$C$14:$H$28,8,MATCH(I14,'Справочник'!$C$13:$H$13,0))),INDEX('Справочник'!$C$14:$H$28,8,MATCH(I14,'Справочник'!$C$13:$H$13,0)),"")),"")</f>
        <v>1</v>
      </c>
    </row>
    <row r="15" spans="1:14" ht="31" customHeight="1">
      <c r="A15" s="14" t="s">
        <v>42</v>
      </c>
      <c r="B15" s="14" t="s">
        <v>43</v>
      </c>
      <c r="C15" s="5" t="s">
        <v>21</v>
      </c>
      <c r="D15" s="11">
        <f>IFERROR(IF(ISNUMBER(INDEX('Справочник'!$C$14:$H$28,9,MATCH(C15,'Справочник'!$C$13:$H$13,0))),INDEX('Справочник'!$C$14:$H$28,9,MATCH(C15,'Справочник'!$C$13:$H$13,0)),""),"")</f>
        <v>1</v>
      </c>
      <c r="F15" s="5" t="s">
        <v>66</v>
      </c>
      <c r="G15" s="5" t="s">
        <v>66</v>
      </c>
      <c r="H15" s="5" t="s">
        <v>66</v>
      </c>
      <c r="I15" s="5" t="s">
        <v>66</v>
      </c>
      <c r="K15" s="11">
        <f>IFERROR(IF(F15="Общий",D15,IF(ISNUMBER(INDEX('Справочник'!$C$14:$H$28,9,MATCH(F15,'Справочник'!$C$13:$H$13,0))),INDEX('Справочник'!$C$14:$H$28,9,MATCH(F15,'Справочник'!$C$13:$H$13,0)),"")),"")</f>
        <v>1</v>
      </c>
      <c r="L15" s="11">
        <f>IFERROR(IF(G15="Общий",D15,IF(ISNUMBER(INDEX('Справочник'!$C$14:$H$28,9,MATCH(G15,'Справочник'!$C$13:$H$13,0))),INDEX('Справочник'!$C$14:$H$28,9,MATCH(G15,'Справочник'!$C$13:$H$13,0)),"")),"")</f>
        <v>1</v>
      </c>
      <c r="M15" s="11">
        <f>IFERROR(IF(H15="Общий",D15,IF(ISNUMBER(INDEX('Справочник'!$C$14:$H$28,9,MATCH(H15,'Справочник'!$C$13:$H$13,0))),INDEX('Справочник'!$C$14:$H$28,9,MATCH(H15,'Справочник'!$C$13:$H$13,0)),"")),"")</f>
        <v>1</v>
      </c>
      <c r="N15" s="11">
        <f>IFERROR(IF(I15="Общий",D15,IF(ISNUMBER(INDEX('Справочник'!$C$14:$H$28,9,MATCH(I15,'Справочник'!$C$13:$H$13,0))),INDEX('Справочник'!$C$14:$H$28,9,MATCH(I15,'Справочник'!$C$13:$H$13,0)),"")),"")</f>
        <v>1</v>
      </c>
    </row>
    <row r="16" spans="1:14" ht="31" customHeight="1">
      <c r="A16" s="14" t="s">
        <v>44</v>
      </c>
      <c r="B16" s="14" t="s">
        <v>45</v>
      </c>
      <c r="C16" s="5" t="s">
        <v>21</v>
      </c>
      <c r="D16" s="11">
        <f>IFERROR(IF(ISNUMBER(INDEX('Справочник'!$C$14:$H$28,10,MATCH(C16,'Справочник'!$C$13:$H$13,0))),INDEX('Справочник'!$C$14:$H$28,10,MATCH(C16,'Справочник'!$C$13:$H$13,0)),""),"")</f>
        <v>1</v>
      </c>
      <c r="F16" s="5" t="s">
        <v>66</v>
      </c>
      <c r="G16" s="5" t="s">
        <v>66</v>
      </c>
      <c r="H16" s="5" t="s">
        <v>66</v>
      </c>
      <c r="I16" s="5" t="s">
        <v>66</v>
      </c>
      <c r="K16" s="11">
        <f>IFERROR(IF(F16="Общий",D16,IF(ISNUMBER(INDEX('Справочник'!$C$14:$H$28,10,MATCH(F16,'Справочник'!$C$13:$H$13,0))),INDEX('Справочник'!$C$14:$H$28,10,MATCH(F16,'Справочник'!$C$13:$H$13,0)),"")),"")</f>
        <v>1</v>
      </c>
      <c r="L16" s="11">
        <f>IFERROR(IF(G16="Общий",D16,IF(ISNUMBER(INDEX('Справочник'!$C$14:$H$28,10,MATCH(G16,'Справочник'!$C$13:$H$13,0))),INDEX('Справочник'!$C$14:$H$28,10,MATCH(G16,'Справочник'!$C$13:$H$13,0)),"")),"")</f>
        <v>1</v>
      </c>
      <c r="M16" s="11">
        <f>IFERROR(IF(H16="Общий",D16,IF(ISNUMBER(INDEX('Справочник'!$C$14:$H$28,10,MATCH(H16,'Справочник'!$C$13:$H$13,0))),INDEX('Справочник'!$C$14:$H$28,10,MATCH(H16,'Справочник'!$C$13:$H$13,0)),"")),"")</f>
        <v>1</v>
      </c>
      <c r="N16" s="11">
        <f>IFERROR(IF(I16="Общий",D16,IF(ISNUMBER(INDEX('Справочник'!$C$14:$H$28,10,MATCH(I16,'Справочник'!$C$13:$H$13,0))),INDEX('Справочник'!$C$14:$H$28,10,MATCH(I16,'Справочник'!$C$13:$H$13,0)),"")),"")</f>
        <v>1</v>
      </c>
    </row>
    <row r="17" spans="1:14" ht="31" customHeight="1">
      <c r="A17" s="14" t="s">
        <v>46</v>
      </c>
      <c r="B17" s="14" t="s">
        <v>47</v>
      </c>
      <c r="C17" s="5" t="s">
        <v>21</v>
      </c>
      <c r="D17" s="11">
        <f>IFERROR(IF(ISNUMBER(INDEX('Справочник'!$C$14:$H$28,11,MATCH(C17,'Справочник'!$C$13:$H$13,0))),INDEX('Справочник'!$C$14:$H$28,11,MATCH(C17,'Справочник'!$C$13:$H$13,0)),""),"")</f>
        <v>1</v>
      </c>
      <c r="F17" s="5" t="s">
        <v>66</v>
      </c>
      <c r="G17" s="5" t="s">
        <v>66</v>
      </c>
      <c r="H17" s="5" t="s">
        <v>66</v>
      </c>
      <c r="I17" s="5" t="s">
        <v>66</v>
      </c>
      <c r="K17" s="11">
        <f>IFERROR(IF(F17="Общий",D17,IF(ISNUMBER(INDEX('Справочник'!$C$14:$H$28,11,MATCH(F17,'Справочник'!$C$13:$H$13,0))),INDEX('Справочник'!$C$14:$H$28,11,MATCH(F17,'Справочник'!$C$13:$H$13,0)),"")),"")</f>
        <v>1</v>
      </c>
      <c r="L17" s="11">
        <f>IFERROR(IF(G17="Общий",D17,IF(ISNUMBER(INDEX('Справочник'!$C$14:$H$28,11,MATCH(G17,'Справочник'!$C$13:$H$13,0))),INDEX('Справочник'!$C$14:$H$28,11,MATCH(G17,'Справочник'!$C$13:$H$13,0)),"")),"")</f>
        <v>1</v>
      </c>
      <c r="M17" s="11">
        <f>IFERROR(IF(H17="Общий",D17,IF(ISNUMBER(INDEX('Справочник'!$C$14:$H$28,11,MATCH(H17,'Справочник'!$C$13:$H$13,0))),INDEX('Справочник'!$C$14:$H$28,11,MATCH(H17,'Справочник'!$C$13:$H$13,0)),"")),"")</f>
        <v>1</v>
      </c>
      <c r="N17" s="11">
        <f>IFERROR(IF(I17="Общий",D17,IF(ISNUMBER(INDEX('Справочник'!$C$14:$H$28,11,MATCH(I17,'Справочник'!$C$13:$H$13,0))),INDEX('Справочник'!$C$14:$H$28,11,MATCH(I17,'Справочник'!$C$13:$H$13,0)),"")),"")</f>
        <v>1</v>
      </c>
    </row>
    <row r="18" spans="1:14" ht="31" customHeight="1">
      <c r="A18" s="14" t="s">
        <v>48</v>
      </c>
      <c r="B18" s="14" t="s">
        <v>49</v>
      </c>
      <c r="C18" s="5" t="s">
        <v>21</v>
      </c>
      <c r="D18" s="11">
        <f>IFERROR(IF(ISNUMBER(INDEX('Справочник'!$C$14:$H$28,12,MATCH(C18,'Справочник'!$C$13:$H$13,0))),INDEX('Справочник'!$C$14:$H$28,12,MATCH(C18,'Справочник'!$C$13:$H$13,0)),""),"")</f>
        <v>1</v>
      </c>
      <c r="F18" s="5" t="s">
        <v>66</v>
      </c>
      <c r="G18" s="5" t="s">
        <v>66</v>
      </c>
      <c r="H18" s="5" t="s">
        <v>66</v>
      </c>
      <c r="I18" s="5" t="s">
        <v>66</v>
      </c>
      <c r="K18" s="11">
        <f>IFERROR(IF(F18="Общий",D18,IF(ISNUMBER(INDEX('Справочник'!$C$14:$H$28,12,MATCH(F18,'Справочник'!$C$13:$H$13,0))),INDEX('Справочник'!$C$14:$H$28,12,MATCH(F18,'Справочник'!$C$13:$H$13,0)),"")),"")</f>
        <v>1</v>
      </c>
      <c r="L18" s="11">
        <f>IFERROR(IF(G18="Общий",D18,IF(ISNUMBER(INDEX('Справочник'!$C$14:$H$28,12,MATCH(G18,'Справочник'!$C$13:$H$13,0))),INDEX('Справочник'!$C$14:$H$28,12,MATCH(G18,'Справочник'!$C$13:$H$13,0)),"")),"")</f>
        <v>1</v>
      </c>
      <c r="M18" s="11">
        <f>IFERROR(IF(H18="Общий",D18,IF(ISNUMBER(INDEX('Справочник'!$C$14:$H$28,12,MATCH(H18,'Справочник'!$C$13:$H$13,0))),INDEX('Справочник'!$C$14:$H$28,12,MATCH(H18,'Справочник'!$C$13:$H$13,0)),"")),"")</f>
        <v>1</v>
      </c>
      <c r="N18" s="11">
        <f>IFERROR(IF(I18="Общий",D18,IF(ISNUMBER(INDEX('Справочник'!$C$14:$H$28,12,MATCH(I18,'Справочник'!$C$13:$H$13,0))),INDEX('Справочник'!$C$14:$H$28,12,MATCH(I18,'Справочник'!$C$13:$H$13,0)),"")),"")</f>
        <v>1</v>
      </c>
    </row>
    <row r="19" spans="1:14" ht="31" customHeight="1">
      <c r="A19" s="14" t="s">
        <v>50</v>
      </c>
      <c r="B19" s="14" t="s">
        <v>51</v>
      </c>
      <c r="C19" s="5" t="s">
        <v>21</v>
      </c>
      <c r="D19" s="11">
        <f>IFERROR(IF(ISNUMBER(INDEX('Справочник'!$C$14:$H$28,13,MATCH(C19,'Справочник'!$C$13:$H$13,0))),INDEX('Справочник'!$C$14:$H$28,13,MATCH(C19,'Справочник'!$C$13:$H$13,0)),""),"")</f>
        <v>1</v>
      </c>
      <c r="F19" s="5" t="s">
        <v>66</v>
      </c>
      <c r="G19" s="5" t="s">
        <v>66</v>
      </c>
      <c r="H19" s="5" t="s">
        <v>66</v>
      </c>
      <c r="I19" s="5" t="s">
        <v>66</v>
      </c>
      <c r="K19" s="11">
        <f>IFERROR(IF(F19="Общий",D19,IF(ISNUMBER(INDEX('Справочник'!$C$14:$H$28,13,MATCH(F19,'Справочник'!$C$13:$H$13,0))),INDEX('Справочник'!$C$14:$H$28,13,MATCH(F19,'Справочник'!$C$13:$H$13,0)),"")),"")</f>
        <v>1</v>
      </c>
      <c r="L19" s="11">
        <f>IFERROR(IF(G19="Общий",D19,IF(ISNUMBER(INDEX('Справочник'!$C$14:$H$28,13,MATCH(G19,'Справочник'!$C$13:$H$13,0))),INDEX('Справочник'!$C$14:$H$28,13,MATCH(G19,'Справочник'!$C$13:$H$13,0)),"")),"")</f>
        <v>1</v>
      </c>
      <c r="M19" s="11">
        <f>IFERROR(IF(H19="Общий",D19,IF(ISNUMBER(INDEX('Справочник'!$C$14:$H$28,13,MATCH(H19,'Справочник'!$C$13:$H$13,0))),INDEX('Справочник'!$C$14:$H$28,13,MATCH(H19,'Справочник'!$C$13:$H$13,0)),"")),"")</f>
        <v>1</v>
      </c>
      <c r="N19" s="11">
        <f>IFERROR(IF(I19="Общий",D19,IF(ISNUMBER(INDEX('Справочник'!$C$14:$H$28,13,MATCH(I19,'Справочник'!$C$13:$H$13,0))),INDEX('Справочник'!$C$14:$H$28,13,MATCH(I19,'Справочник'!$C$13:$H$13,0)),"")),"")</f>
        <v>1</v>
      </c>
    </row>
    <row r="20" spans="1:14" ht="31" customHeight="1">
      <c r="A20" s="14" t="s">
        <v>52</v>
      </c>
      <c r="B20" s="14" t="s">
        <v>53</v>
      </c>
      <c r="C20" s="5" t="s">
        <v>21</v>
      </c>
      <c r="D20" s="11">
        <f>IFERROR(IF(ISNUMBER(INDEX('Справочник'!$C$14:$H$28,14,MATCH(C20,'Справочник'!$C$13:$H$13,0))),INDEX('Справочник'!$C$14:$H$28,14,MATCH(C20,'Справочник'!$C$13:$H$13,0)),""),"")</f>
        <v>1</v>
      </c>
      <c r="F20" s="5" t="s">
        <v>66</v>
      </c>
      <c r="G20" s="5" t="s">
        <v>66</v>
      </c>
      <c r="H20" s="5" t="s">
        <v>66</v>
      </c>
      <c r="I20" s="5" t="s">
        <v>66</v>
      </c>
      <c r="K20" s="11">
        <f>IFERROR(IF(F20="Общий",D20,IF(ISNUMBER(INDEX('Справочник'!$C$14:$H$28,14,MATCH(F20,'Справочник'!$C$13:$H$13,0))),INDEX('Справочник'!$C$14:$H$28,14,MATCH(F20,'Справочник'!$C$13:$H$13,0)),"")),"")</f>
        <v>1</v>
      </c>
      <c r="L20" s="11">
        <f>IFERROR(IF(G20="Общий",D20,IF(ISNUMBER(INDEX('Справочник'!$C$14:$H$28,14,MATCH(G20,'Справочник'!$C$13:$H$13,0))),INDEX('Справочник'!$C$14:$H$28,14,MATCH(G20,'Справочник'!$C$13:$H$13,0)),"")),"")</f>
        <v>1</v>
      </c>
      <c r="M20" s="11">
        <f>IFERROR(IF(H20="Общий",D20,IF(ISNUMBER(INDEX('Справочник'!$C$14:$H$28,14,MATCH(H20,'Справочник'!$C$13:$H$13,0))),INDEX('Справочник'!$C$14:$H$28,14,MATCH(H20,'Справочник'!$C$13:$H$13,0)),"")),"")</f>
        <v>1</v>
      </c>
      <c r="N20" s="11">
        <f>IFERROR(IF(I20="Общий",D20,IF(ISNUMBER(INDEX('Справочник'!$C$14:$H$28,14,MATCH(I20,'Справочник'!$C$13:$H$13,0))),INDEX('Справочник'!$C$14:$H$28,14,MATCH(I20,'Справочник'!$C$13:$H$13,0)),"")),"")</f>
        <v>1</v>
      </c>
    </row>
    <row r="21" spans="1:14" ht="31" customHeight="1">
      <c r="A21" s="14" t="s">
        <v>54</v>
      </c>
      <c r="B21" s="14" t="s">
        <v>55</v>
      </c>
      <c r="C21" s="5" t="s">
        <v>21</v>
      </c>
      <c r="D21" s="11">
        <f>IFERROR(IF(ISNUMBER(INDEX('Справочник'!$C$14:$H$28,15,MATCH(C21,'Справочник'!$C$13:$H$13,0))),INDEX('Справочник'!$C$14:$H$28,15,MATCH(C21,'Справочник'!$C$13:$H$13,0)),""),"")</f>
        <v>1</v>
      </c>
      <c r="F21" s="5" t="s">
        <v>66</v>
      </c>
      <c r="G21" s="5" t="s">
        <v>66</v>
      </c>
      <c r="H21" s="5" t="s">
        <v>66</v>
      </c>
      <c r="I21" s="5" t="s">
        <v>66</v>
      </c>
      <c r="K21" s="11">
        <f>IFERROR(IF(F21="Общий",D21,IF(ISNUMBER(INDEX('Справочник'!$C$14:$H$28,15,MATCH(F21,'Справочник'!$C$13:$H$13,0))),INDEX('Справочник'!$C$14:$H$28,15,MATCH(F21,'Справочник'!$C$13:$H$13,0)),"")),"")</f>
        <v>1</v>
      </c>
      <c r="L21" s="11">
        <f>IFERROR(IF(G21="Общий",D21,IF(ISNUMBER(INDEX('Справочник'!$C$14:$H$28,15,MATCH(G21,'Справочник'!$C$13:$H$13,0))),INDEX('Справочник'!$C$14:$H$28,15,MATCH(G21,'Справочник'!$C$13:$H$13,0)),"")),"")</f>
        <v>1</v>
      </c>
      <c r="M21" s="11">
        <f>IFERROR(IF(H21="Общий",D21,IF(ISNUMBER(INDEX('Справочник'!$C$14:$H$28,15,MATCH(H21,'Справочник'!$C$13:$H$13,0))),INDEX('Справочник'!$C$14:$H$28,15,MATCH(H21,'Справочник'!$C$13:$H$13,0)),"")),"")</f>
        <v>1</v>
      </c>
      <c r="N21" s="11">
        <f>IFERROR(IF(I21="Общий",D21,IF(ISNUMBER(INDEX('Справочник'!$C$14:$H$28,15,MATCH(I21,'Справочник'!$C$13:$H$13,0))),INDEX('Справочник'!$C$14:$H$28,15,MATCH(I21,'Справочник'!$C$13:$H$13,0)),"")),"")</f>
        <v>1</v>
      </c>
    </row>
    <row r="23" spans="1:14" ht="23" customHeight="1">
      <c r="A23" s="3" t="s">
        <v>88</v>
      </c>
      <c r="B23" s="3"/>
      <c r="C23" s="3"/>
      <c r="D23" s="11">
        <f>IF(COUNT(D7:D21)=15,PRODUCT(D7:D21),"")</f>
        <v>1</v>
      </c>
      <c r="K23" s="11">
        <f>IF(COUNT(K7:K21)=15,PRODUCT(K7:K21),"")</f>
        <v>1</v>
      </c>
      <c r="L23" s="11">
        <f>IF(COUNT(L7:L21)=15,PRODUCT(L7:L21),"")</f>
        <v>1</v>
      </c>
      <c r="M23" s="11">
        <f>IF(COUNT(M7:M21)=15,PRODUCT(M7:M21),"")</f>
        <v>1</v>
      </c>
      <c r="N23" s="11">
        <f>IF(COUNT(N7:N21)=15,PRODUCT(N7:N21),"")</f>
        <v>1</v>
      </c>
    </row>
    <row r="25" spans="1:14" ht="23" customHeight="1">
      <c r="A25" s="16" t="s">
        <v>89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23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8" spans="1:14" ht="23" customHeight="1">
      <c r="A28" s="18" t="s">
        <v>90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23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</sheetData>
  <sheetProtection sheet="1" objects="1" scenarios="1"/>
  <mergeCells count="9">
    <mergeCell ref="A1:N1"/>
    <mergeCell ref="A2:N2"/>
    <mergeCell ref="A4:N4"/>
    <mergeCell ref="A5:D5"/>
    <mergeCell ref="F5:I5"/>
    <mergeCell ref="K5:N5"/>
    <mergeCell ref="A23:C23"/>
    <mergeCell ref="A25:N26"/>
    <mergeCell ref="A28:N29"/>
  </mergeCells>
  <dataValidations count="75"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7">
      <formula1>R_RELY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7">
      <formula1>P_RELY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7">
      <formula1>P_RELY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7">
      <formula1>P_RELY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7">
      <formula1>P_RELY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8">
      <formula1>R_DATA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8">
      <formula1>P_DATA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8">
      <formula1>P_DATA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8">
      <formula1>P_DATA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8">
      <formula1>P_DATA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9">
      <formula1>R_CPLX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9">
      <formula1>P_CPLX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9">
      <formula1>P_CPLX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9">
      <formula1>P_CPLX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9">
      <formula1>P_CPLX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0">
      <formula1>R_TIME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0">
      <formula1>P_TIME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0">
      <formula1>P_TIME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0">
      <formula1>P_TIME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0">
      <formula1>P_TIME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1">
      <formula1>R_STOR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1">
      <formula1>P_STOR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1">
      <formula1>P_STOR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1">
      <formula1>P_STOR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1">
      <formula1>P_STOR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2">
      <formula1>R_VIRT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2">
      <formula1>P_VIRT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2">
      <formula1>P_VIRT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2">
      <formula1>P_VIRT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2">
      <formula1>P_VIRT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3">
      <formula1>R_TURN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3">
      <formula1>P_TURN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3">
      <formula1>P_TURN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3">
      <formula1>P_TURN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3">
      <formula1>P_TURN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4">
      <formula1>R_ACAP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4">
      <formula1>P_ACAP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4">
      <formula1>P_ACAP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4">
      <formula1>P_ACAP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4">
      <formula1>P_ACAP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5">
      <formula1>R_AEXP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5">
      <formula1>P_AEXP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5">
      <formula1>P_AEXP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5">
      <formula1>P_AEXP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5">
      <formula1>P_AEXP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6">
      <formula1>R_PCAP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6">
      <formula1>P_PCAP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6">
      <formula1>P_PCAP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6">
      <formula1>P_PCAP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6">
      <formula1>P_PCAP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7">
      <formula1>R_VEXP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7">
      <formula1>P_VEXP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7">
      <formula1>P_VEXP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7">
      <formula1>P_VEXP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7">
      <formula1>P_VEXP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8">
      <formula1>R_LEXP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8">
      <formula1>P_LEXP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8">
      <formula1>P_LEXP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8">
      <formula1>P_LEXP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8">
      <formula1>P_LEXP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19">
      <formula1>R_MODP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19">
      <formula1>P_MODP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19">
      <formula1>P_MODP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19">
      <formula1>P_MODP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19">
      <formula1>P_MODP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20">
      <formula1>R_TOOL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20">
      <formula1>P_TOOL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20">
      <formula1>P_TOOL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20">
      <formula1>P_TOOL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20">
      <formula1>P_TOOL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C21">
      <formula1>R_SCED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F21">
      <formula1>P_SCED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G21">
      <formula1>P_SCED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H21">
      <formula1>P_SCED</formula1>
    </dataValidation>
    <dataValidation type="list" showInputMessage="1" showErrorMessage="1" errorTitle="Выберите значение из списка" error="Это значение отсутствует в допустимом списке." promptTitle="Параметр расчёта" prompt="Выберите значение с помощью стрелки справа." sqref="I21">
      <formula1>P_SCED</formula1>
    </dataValidation>
  </dataValidations>
  <pageMargins left="0.25" right="0.25" top="0.3" bottom="0.3" header="0.12" footer="0.12"/>
  <pageSetup paperSize="9" orientation="landscape"/>
  <headerFooter>
    <oddHeader>&amp;LCOCOMO 81&amp;RРасчёт проекта</oddHeader>
    <oddFooter>&amp;LГолубые ячейки — ввод&amp;RСтр.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2D4E"/>
    <pageSetUpPr fitToPage="1"/>
  </sheetPr>
  <dimension ref="A1:N19"/>
  <sheetViews>
    <sheetView showGridLines="0"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3" customHeight="1"/>
  <cols>
    <col min="1" max="1" width="5.7109375" customWidth="1"/>
    <col min="2" max="2" width="33.7109375" customWidth="1"/>
    <col min="3" max="7" width="14.7109375" customWidth="1"/>
    <col min="8" max="8" width="12.7109375" customWidth="1"/>
    <col min="9" max="10" width="16.7109375" customWidth="1"/>
    <col min="11" max="12" width="22.7109375" customWidth="1"/>
    <col min="13" max="14" width="12.7109375" hidden="1" customWidth="1"/>
  </cols>
  <sheetData>
    <row r="1" spans="1:14" ht="39" customHeight="1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ht="28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4" ht="23" customHeight="1">
      <c r="A4" s="16" t="s">
        <v>93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6" spans="1:14" ht="55" customHeight="1">
      <c r="A6" s="13" t="s">
        <v>94</v>
      </c>
      <c r="B6" s="13" t="s">
        <v>95</v>
      </c>
      <c r="C6" s="13" t="s">
        <v>96</v>
      </c>
      <c r="D6" s="13" t="s">
        <v>97</v>
      </c>
      <c r="E6" s="13" t="s">
        <v>98</v>
      </c>
      <c r="F6" s="13" t="s">
        <v>99</v>
      </c>
      <c r="G6" s="13" t="s">
        <v>100</v>
      </c>
      <c r="H6" s="13" t="s">
        <v>101</v>
      </c>
      <c r="I6" s="13" t="s">
        <v>102</v>
      </c>
      <c r="J6" s="13" t="s">
        <v>103</v>
      </c>
      <c r="K6" s="13" t="s">
        <v>104</v>
      </c>
      <c r="L6" s="13" t="s">
        <v>105</v>
      </c>
    </row>
    <row r="7" spans="1:14" ht="43" customHeight="1">
      <c r="A7" s="20">
        <v>1</v>
      </c>
      <c r="B7" s="14" t="s">
        <v>106</v>
      </c>
      <c r="C7" s="17">
        <f>IFERROR(SUMIFS('Справочник'!$C$35:$C$48,'Справочник'!$A$35:$A$48,ProjectMode,'Справочник'!$B$35:$B$48,$N$8)*(1-$N$10)+SUMIFS('Справочник'!$C$35:$C$48,'Справочник'!$A$35:$A$48,ProjectMode,'Справочник'!$B$35:$B$48,$N$9)*$N$10,0)</f>
        <v>0.16</v>
      </c>
      <c r="D7" s="10"/>
      <c r="E7" s="17">
        <f>IF(D7="",C7,IF(ISNUMBER(D7),D7,-1))</f>
        <v>0.16</v>
      </c>
      <c r="F7" s="10"/>
      <c r="G7" s="17">
        <f>IF(F7="",E7,IF(ISNUMBER(F7),F7,-1))</f>
        <v>0.16</v>
      </c>
      <c r="H7" s="11">
        <f>'Факторы'!K23</f>
        <v>1</v>
      </c>
      <c r="I7" s="6">
        <f>IF(IsValid,NeutralEffort*E7*H7,"")</f>
        <v>19.483969372204587</v>
      </c>
      <c r="J7" s="6">
        <f>IF(IsValid,'Калькулятор'!$E$22*G7,"")</f>
        <v>2.4806861643188443</v>
      </c>
      <c r="K7" s="15">
        <f>IF(IsValid,I7*MonthlyRate,"")</f>
        <v>1948396.9372204586</v>
      </c>
      <c r="L7" s="15">
        <f>IF(IsValid,IF('Калькулятор'!$C$22=0,0,I7/'Калькулятор'!$C$22*'Калькулятор'!$G$22),"")</f>
        <v>1948396.9372204586</v>
      </c>
      <c r="N7" s="6">
        <f>IFERROR(MIN(MAX(KLOC,2),IF(ProjectMode="Органический",128,512)),2)</f>
        <v>32.0</v>
      </c>
    </row>
    <row r="8" spans="1:14" ht="43" customHeight="1">
      <c r="A8" s="20">
        <v>2</v>
      </c>
      <c r="B8" s="14" t="s">
        <v>107</v>
      </c>
      <c r="C8" s="17">
        <f>IFERROR(SUMIFS('Справочник'!$D$35:$D$48,'Справочник'!$A$35:$A$48,ProjectMode,'Справочник'!$B$35:$B$48,$N$8)*(1-$N$10)+SUMIFS('Справочник'!$D$35:$D$48,'Справочник'!$A$35:$A$48,ProjectMode,'Справочник'!$B$35:$B$48,$N$9)*$N$10,0)</f>
        <v>0.24</v>
      </c>
      <c r="D8" s="10"/>
      <c r="E8" s="17">
        <f>IF(D8="",C8,IF(ISNUMBER(D8),D8,-1))</f>
        <v>0.24</v>
      </c>
      <c r="F8" s="10"/>
      <c r="G8" s="17">
        <f>IF(F8="",E8,IF(ISNUMBER(F8),F8,-1))</f>
        <v>0.24</v>
      </c>
      <c r="H8" s="11">
        <f>'Факторы'!L23</f>
        <v>1</v>
      </c>
      <c r="I8" s="6">
        <f>IF(IsValid,NeutralEffort*E8*H8,"")</f>
        <v>29.225954058306876</v>
      </c>
      <c r="J8" s="6">
        <f>IF(IsValid,'Калькулятор'!$E$22*G8,"")</f>
        <v>3.721029246478266</v>
      </c>
      <c r="K8" s="15">
        <f>IF(IsValid,I8*MonthlyRate,"")</f>
        <v>2922595.4058306874</v>
      </c>
      <c r="L8" s="15">
        <f>IF(IsValid,IF('Калькулятор'!$C$22=0,0,I8/'Калькулятор'!$C$22*'Калькулятор'!$G$22),"")</f>
        <v>2922595.4058306874</v>
      </c>
      <c r="N8" s="6">
        <f>2*4^INT(ROUND(LOG(N7/2,4),12))</f>
        <v>32.0</v>
      </c>
    </row>
    <row r="9" spans="1:14" ht="43" customHeight="1">
      <c r="A9" s="20">
        <v>3</v>
      </c>
      <c r="B9" s="14" t="s">
        <v>108</v>
      </c>
      <c r="C9" s="17">
        <f>IFERROR(SUMIFS('Справочник'!$E$35:$E$48,'Справочник'!$A$35:$A$48,ProjectMode,'Справочник'!$B$35:$B$48,$N$8)*(1-$N$10)+SUMIFS('Справочник'!$E$35:$E$48,'Справочник'!$A$35:$A$48,ProjectMode,'Справочник'!$B$35:$B$48,$N$9)*$N$10,0)</f>
        <v>0.38</v>
      </c>
      <c r="D9" s="10"/>
      <c r="E9" s="17">
        <f>IF(D9="",C9,IF(ISNUMBER(D9),D9,-1))</f>
        <v>0.38</v>
      </c>
      <c r="F9" s="10"/>
      <c r="G9" s="17">
        <f>IF(F9="",E9,IF(ISNUMBER(F9),F9,-1))</f>
        <v>0.38</v>
      </c>
      <c r="H9" s="11">
        <f>'Факторы'!M23</f>
        <v>1</v>
      </c>
      <c r="I9" s="6">
        <f>IF(IsValid,NeutralEffort*E9*H9,"")</f>
        <v>46.27442725898589</v>
      </c>
      <c r="J9" s="6">
        <f>IF(IsValid,'Калькулятор'!$E$22*G9,"")</f>
        <v>5.891629640257254</v>
      </c>
      <c r="K9" s="15">
        <f>IF(IsValid,I9*MonthlyRate,"")</f>
        <v>4627442.725898589</v>
      </c>
      <c r="L9" s="15">
        <f>IF(IsValid,IF('Калькулятор'!$C$22=0,0,I9/'Калькулятор'!$C$22*'Калькулятор'!$G$22),"")</f>
        <v>4627442.725898589</v>
      </c>
      <c r="N9" s="6">
        <f>MIN(N8*4,IF(ProjectMode="Органический",128,512))</f>
        <v>128</v>
      </c>
    </row>
    <row r="10" spans="1:14" ht="43" customHeight="1">
      <c r="A10" s="20">
        <v>4</v>
      </c>
      <c r="B10" s="14" t="s">
        <v>109</v>
      </c>
      <c r="C10" s="17">
        <f>IFERROR(SUMIFS('Справочник'!$F$35:$F$48,'Справочник'!$A$35:$A$48,ProjectMode,'Справочник'!$B$35:$B$48,$N$8)*(1-$N$10)+SUMIFS('Справочник'!$F$35:$F$48,'Справочник'!$A$35:$A$48,ProjectMode,'Справочник'!$B$35:$B$48,$N$9)*$N$10,0)</f>
        <v>0.22</v>
      </c>
      <c r="D10" s="10"/>
      <c r="E10" s="17">
        <f>IF(D10="",C10,IF(ISNUMBER(D10),D10,-1))</f>
        <v>0.22</v>
      </c>
      <c r="F10" s="10"/>
      <c r="G10" s="17">
        <f>IF(F10="",E10,IF(ISNUMBER(F10),F10,-1))</f>
        <v>0.22</v>
      </c>
      <c r="H10" s="11">
        <f>'Факторы'!N23</f>
        <v>1</v>
      </c>
      <c r="I10" s="6">
        <f>IF(IsValid,NeutralEffort*E10*H10,"")</f>
        <v>26.790457886781304</v>
      </c>
      <c r="J10" s="6">
        <f>IF(IsValid,'Калькулятор'!$E$22*G10,"")</f>
        <v>3.4109434759384105</v>
      </c>
      <c r="K10" s="15">
        <f>IF(IsValid,I10*MonthlyRate,"")</f>
        <v>2679045.7886781306</v>
      </c>
      <c r="L10" s="15">
        <f>IF(IsValid,IF('Калькулятор'!$C$22=0,0,I10/'Калькулятор'!$C$22*'Калькулятор'!$G$22),"")</f>
        <v>2679045.7886781306</v>
      </c>
      <c r="N10" s="6">
        <f>IF(N8=N9,0,LN(N7/N8)/LN(N9/N8))</f>
        <v>0</v>
      </c>
    </row>
    <row r="12" spans="1:14" ht="23" customHeight="1">
      <c r="A12" s="3" t="s">
        <v>110</v>
      </c>
      <c r="B12" s="3"/>
      <c r="C12" s="17">
        <f>SUM(C7:C10)</f>
        <v>1</v>
      </c>
      <c r="E12" s="17">
        <f>SUM(E7:E10)</f>
        <v>1</v>
      </c>
      <c r="G12" s="17">
        <f>SUM(G7:G10)</f>
        <v>1</v>
      </c>
      <c r="I12" s="6">
        <f>IF(IsValid,SUM(I7:I10),"")</f>
        <v>121.77480857627866</v>
      </c>
      <c r="J12" s="6">
        <f>IF(IsValid,SUM(J7:J10),"")</f>
        <v>15.504288526992775</v>
      </c>
      <c r="K12" s="15">
        <f>IF(IsValid,SUM(K7:K10),"")</f>
        <v>12177480.857627867</v>
      </c>
      <c r="L12" s="15">
        <f>IF(IsValid,SUM(L7:L10),"")</f>
        <v>12177480.857627867</v>
      </c>
    </row>
    <row r="14" spans="1:14" ht="23" customHeight="1">
      <c r="A14" s="4" t="s">
        <v>111</v>
      </c>
      <c r="B14" s="4"/>
      <c r="C14" s="4"/>
      <c r="D14" s="4"/>
      <c r="E14" s="14" t="b">
        <f>AND(COUNT(E7:E10)=4,COUNT(G7:G10)=4,MIN(E7:E10)&gt;=0,MAX(E7:E10)&lt;=1,MIN(G7:G10)&gt;=0,MAX(G7:G10)&lt;=1,ABS(SUM(E7:E10)-1)&lt;0.00000001,ABS(SUM(G7:G10)-1)&lt;0.00000001)</f>
        <v>1</v>
      </c>
      <c r="F14" s="12" t="str">
        <f>IF(E14,"ОК: обе суммы равны 100%","Ошибка: проверьте проценты; каждая сумма должна быть 100%")</f>
        <v>ОК: обе суммы равны 100%</v>
      </c>
      <c r="G14" s="12"/>
      <c r="H14" s="12"/>
      <c r="I14" s="12"/>
      <c r="J14" s="12"/>
      <c r="K14" s="12"/>
      <c r="L14" s="12"/>
    </row>
    <row r="16" spans="1:14" ht="23" customHeight="1">
      <c r="A16" s="16" t="s">
        <v>112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2" ht="23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23" customHeight="1">
      <c r="A18" s="16" t="s">
        <v>113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2" ht="23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</sheetData>
  <sheetProtection sheet="1" objects="1" scenarios="1"/>
  <mergeCells count="8">
    <mergeCell ref="A1:L1"/>
    <mergeCell ref="A2:L2"/>
    <mergeCell ref="A4:L4"/>
    <mergeCell ref="A12:B12"/>
    <mergeCell ref="A14:D14"/>
    <mergeCell ref="F14:L14"/>
    <mergeCell ref="A16:L17"/>
    <mergeCell ref="A18:L19"/>
  </mergeCells>
  <conditionalFormatting sqref="F14:L14">
    <cfRule type="expression" dxfId="0" priority="1">
      <formula>NOT($E$14)</formula>
    </cfRule>
  </conditionalFormatting>
  <dataValidations count="8">
    <dataValidation type="decimal" allowBlank="1" showInputMessage="1" showErrorMessage="1" errorTitle="Недопустимое число" error="Введите число от 0 до 1." promptTitle="Числовой параметр" prompt="Введите число; разделитель зависит от настроек Excel." sqref="D7">
      <formula1>0</formula1>
      <formula2>1</formula2>
    </dataValidation>
    <dataValidation type="decimal" allowBlank="1" showInputMessage="1" showErrorMessage="1" errorTitle="Недопустимое число" error="Введите число от 0 до 1." promptTitle="Числовой параметр" prompt="Введите число; разделитель зависит от настроек Excel." sqref="F7">
      <formula1>0</formula1>
      <formula2>1</formula2>
    </dataValidation>
    <dataValidation type="decimal" allowBlank="1" showInputMessage="1" showErrorMessage="1" errorTitle="Недопустимое число" error="Введите число от 0 до 1." promptTitle="Числовой параметр" prompt="Введите число; разделитель зависит от настроек Excel." sqref="D8">
      <formula1>0</formula1>
      <formula2>1</formula2>
    </dataValidation>
    <dataValidation type="decimal" allowBlank="1" showInputMessage="1" showErrorMessage="1" errorTitle="Недопустимое число" error="Введите число от 0 до 1." promptTitle="Числовой параметр" prompt="Введите число; разделитель зависит от настроек Excel." sqref="F8">
      <formula1>0</formula1>
      <formula2>1</formula2>
    </dataValidation>
    <dataValidation type="decimal" allowBlank="1" showInputMessage="1" showErrorMessage="1" errorTitle="Недопустимое число" error="Введите число от 0 до 1." promptTitle="Числовой параметр" prompt="Введите число; разделитель зависит от настроек Excel." sqref="D9">
      <formula1>0</formula1>
      <formula2>1</formula2>
    </dataValidation>
    <dataValidation type="decimal" allowBlank="1" showInputMessage="1" showErrorMessage="1" errorTitle="Недопустимое число" error="Введите число от 0 до 1." promptTitle="Числовой параметр" prompt="Введите число; разделитель зависит от настроек Excel." sqref="F9">
      <formula1>0</formula1>
      <formula2>1</formula2>
    </dataValidation>
    <dataValidation type="decimal" allowBlank="1" showInputMessage="1" showErrorMessage="1" errorTitle="Недопустимое число" error="Введите число от 0 до 1." promptTitle="Числовой параметр" prompt="Введите число; разделитель зависит от настроек Excel." sqref="D10">
      <formula1>0</formula1>
      <formula2>1</formula2>
    </dataValidation>
    <dataValidation type="decimal" allowBlank="1" showInputMessage="1" showErrorMessage="1" errorTitle="Недопустимое число" error="Введите число от 0 до 1." promptTitle="Числовой параметр" prompt="Введите число; разделитель зависит от настроек Excel." sqref="F10">
      <formula1>0</formula1>
      <formula2>1</formula2>
    </dataValidation>
  </dataValidations>
  <pageMargins left="0.25" right="0.25" top="0.3" bottom="0.3" header="0.12" footer="0.12"/>
  <pageSetup paperSize="9" orientation="landscape"/>
  <headerFooter>
    <oddHeader>&amp;LCOCOMO 81&amp;RРасчёт проекта</oddHeader>
    <oddFooter>&amp;LГолубые ячейки — ввод&amp;RСтр.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42D4E"/>
    <pageSetUpPr fitToPage="1"/>
  </sheetPr>
  <dimension ref="A1:I51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3" customHeight="1"/>
  <cols>
    <col min="1" max="1" width="26.7109375" customWidth="1"/>
    <col min="2" max="2" width="37.7109375" customWidth="1"/>
    <col min="3" max="9" width="16.7109375" customWidth="1"/>
  </cols>
  <sheetData>
    <row r="1" spans="1:9" ht="39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8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23" customHeight="1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ht="36" customHeight="1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</row>
    <row r="6" spans="1:9" ht="23" customHeight="1">
      <c r="A6" s="14" t="s">
        <v>12</v>
      </c>
      <c r="B6" s="6">
        <v>2.4</v>
      </c>
      <c r="C6" s="6">
        <v>1.05</v>
      </c>
      <c r="D6" s="6">
        <v>2.5</v>
      </c>
      <c r="E6" s="6">
        <v>0.38</v>
      </c>
      <c r="F6" s="6">
        <v>3.2</v>
      </c>
      <c r="G6" s="6">
        <v>1.05</v>
      </c>
      <c r="H6" s="6">
        <v>2.5</v>
      </c>
      <c r="I6" s="6">
        <v>0.38</v>
      </c>
    </row>
    <row r="7" spans="1:9" ht="23" customHeight="1">
      <c r="A7" s="14" t="s">
        <v>13</v>
      </c>
      <c r="B7" s="6">
        <v>3</v>
      </c>
      <c r="C7" s="6">
        <v>1.12</v>
      </c>
      <c r="D7" s="6">
        <v>2.5</v>
      </c>
      <c r="E7" s="6">
        <v>0.35</v>
      </c>
      <c r="F7" s="6">
        <v>3</v>
      </c>
      <c r="G7" s="6">
        <v>1.12</v>
      </c>
      <c r="H7" s="6">
        <v>2.5</v>
      </c>
      <c r="I7" s="6">
        <v>0.35</v>
      </c>
    </row>
    <row r="8" spans="1:9" ht="23" customHeight="1">
      <c r="A8" s="14" t="s">
        <v>14</v>
      </c>
      <c r="B8" s="6">
        <v>3.6</v>
      </c>
      <c r="C8" s="6">
        <v>1.2</v>
      </c>
      <c r="D8" s="6">
        <v>2.5</v>
      </c>
      <c r="E8" s="6">
        <v>0.32</v>
      </c>
      <c r="F8" s="6">
        <v>2.8</v>
      </c>
      <c r="G8" s="6">
        <v>1.2</v>
      </c>
      <c r="H8" s="6">
        <v>2.5</v>
      </c>
      <c r="I8" s="6">
        <v>0.32</v>
      </c>
    </row>
    <row r="10" spans="1:9" ht="23" customHeight="1">
      <c r="A10" s="16" t="s">
        <v>15</v>
      </c>
      <c r="B10" s="16"/>
      <c r="C10" s="16"/>
      <c r="D10" s="16"/>
      <c r="E10" s="16"/>
      <c r="F10" s="16"/>
      <c r="G10" s="16"/>
      <c r="H10" s="16"/>
      <c r="I10" s="16"/>
    </row>
    <row r="12" spans="1:9" ht="23" customHeight="1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 spans="1:9" ht="34" customHeight="1">
      <c r="A13" s="13" t="s">
        <v>17</v>
      </c>
      <c r="B13" s="13" t="s">
        <v>18</v>
      </c>
      <c r="C13" s="13" t="s">
        <v>19</v>
      </c>
      <c r="D13" s="13" t="s">
        <v>20</v>
      </c>
      <c r="E13" s="13" t="s">
        <v>21</v>
      </c>
      <c r="F13" s="13" t="s">
        <v>22</v>
      </c>
      <c r="G13" s="13" t="s">
        <v>23</v>
      </c>
      <c r="H13" s="13" t="s">
        <v>24</v>
      </c>
    </row>
    <row r="14" spans="1:9" ht="23" customHeight="1">
      <c r="A14" s="14" t="s">
        <v>25</v>
      </c>
      <c r="B14" s="14" t="s">
        <v>26</v>
      </c>
      <c r="C14" s="11">
        <v>0.75</v>
      </c>
      <c r="D14" s="11">
        <v>0.88</v>
      </c>
      <c r="E14" s="11">
        <v>1</v>
      </c>
      <c r="F14" s="11">
        <v>1.15</v>
      </c>
      <c r="G14" s="11">
        <v>1.4</v>
      </c>
      <c r="H14" s="14" t="s">
        <v>27</v>
      </c>
    </row>
    <row r="15" spans="1:9" ht="23" customHeight="1">
      <c r="A15" s="14" t="s">
        <v>28</v>
      </c>
      <c r="B15" s="14" t="s">
        <v>29</v>
      </c>
      <c r="C15" s="14" t="s">
        <v>27</v>
      </c>
      <c r="D15" s="11">
        <v>0.9399999999999999</v>
      </c>
      <c r="E15" s="11">
        <v>1</v>
      </c>
      <c r="F15" s="11">
        <v>1.08</v>
      </c>
      <c r="G15" s="11">
        <v>1.16</v>
      </c>
      <c r="H15" s="14" t="s">
        <v>27</v>
      </c>
    </row>
    <row r="16" spans="1:9" ht="23" customHeight="1">
      <c r="A16" s="14" t="s">
        <v>30</v>
      </c>
      <c r="B16" s="14" t="s">
        <v>31</v>
      </c>
      <c r="C16" s="11">
        <v>0.7</v>
      </c>
      <c r="D16" s="11">
        <v>0.85</v>
      </c>
      <c r="E16" s="11">
        <v>1</v>
      </c>
      <c r="F16" s="11">
        <v>1.15</v>
      </c>
      <c r="G16" s="11">
        <v>1.3</v>
      </c>
      <c r="H16" s="11">
        <v>1.65</v>
      </c>
    </row>
    <row r="17" spans="1:9" ht="23" customHeight="1">
      <c r="A17" s="14" t="s">
        <v>32</v>
      </c>
      <c r="B17" s="14" t="s">
        <v>33</v>
      </c>
      <c r="C17" s="14" t="s">
        <v>27</v>
      </c>
      <c r="D17" s="14" t="s">
        <v>27</v>
      </c>
      <c r="E17" s="11">
        <v>1</v>
      </c>
      <c r="F17" s="11">
        <v>1.11</v>
      </c>
      <c r="G17" s="11">
        <v>1.3</v>
      </c>
      <c r="H17" s="11">
        <v>1.66</v>
      </c>
    </row>
    <row r="18" spans="1:9" ht="23" customHeight="1">
      <c r="A18" s="14" t="s">
        <v>34</v>
      </c>
      <c r="B18" s="14" t="s">
        <v>35</v>
      </c>
      <c r="C18" s="14" t="s">
        <v>27</v>
      </c>
      <c r="D18" s="14" t="s">
        <v>27</v>
      </c>
      <c r="E18" s="11">
        <v>1</v>
      </c>
      <c r="F18" s="11">
        <v>1.06</v>
      </c>
      <c r="G18" s="11">
        <v>1.21</v>
      </c>
      <c r="H18" s="11">
        <v>1.56</v>
      </c>
    </row>
    <row r="19" spans="1:9" ht="23" customHeight="1">
      <c r="A19" s="14" t="s">
        <v>36</v>
      </c>
      <c r="B19" s="14" t="s">
        <v>37</v>
      </c>
      <c r="C19" s="14" t="s">
        <v>27</v>
      </c>
      <c r="D19" s="11">
        <v>0.87</v>
      </c>
      <c r="E19" s="11">
        <v>1</v>
      </c>
      <c r="F19" s="11">
        <v>1.15</v>
      </c>
      <c r="G19" s="11">
        <v>1.3</v>
      </c>
      <c r="H19" s="14" t="s">
        <v>27</v>
      </c>
    </row>
    <row r="20" spans="1:9" ht="23" customHeight="1">
      <c r="A20" s="14" t="s">
        <v>38</v>
      </c>
      <c r="B20" s="14" t="s">
        <v>39</v>
      </c>
      <c r="C20" s="14" t="s">
        <v>27</v>
      </c>
      <c r="D20" s="11">
        <v>0.87</v>
      </c>
      <c r="E20" s="11">
        <v>1</v>
      </c>
      <c r="F20" s="11">
        <v>1.07</v>
      </c>
      <c r="G20" s="11">
        <v>1.15</v>
      </c>
      <c r="H20" s="14" t="s">
        <v>27</v>
      </c>
    </row>
    <row r="21" spans="1:9" ht="23" customHeight="1">
      <c r="A21" s="14" t="s">
        <v>40</v>
      </c>
      <c r="B21" s="14" t="s">
        <v>41</v>
      </c>
      <c r="C21" s="11">
        <v>1.46</v>
      </c>
      <c r="D21" s="11">
        <v>1.19</v>
      </c>
      <c r="E21" s="11">
        <v>1</v>
      </c>
      <c r="F21" s="11">
        <v>0.86</v>
      </c>
      <c r="G21" s="11">
        <v>0.71</v>
      </c>
      <c r="H21" s="14" t="s">
        <v>27</v>
      </c>
    </row>
    <row r="22" spans="1:9" ht="23" customHeight="1">
      <c r="A22" s="14" t="s">
        <v>42</v>
      </c>
      <c r="B22" s="14" t="s">
        <v>43</v>
      </c>
      <c r="C22" s="11">
        <v>1.29</v>
      </c>
      <c r="D22" s="11">
        <v>1.13</v>
      </c>
      <c r="E22" s="11">
        <v>1</v>
      </c>
      <c r="F22" s="11">
        <v>0.91</v>
      </c>
      <c r="G22" s="11">
        <v>0.82</v>
      </c>
      <c r="H22" s="14" t="s">
        <v>27</v>
      </c>
    </row>
    <row r="23" spans="1:9" ht="23" customHeight="1">
      <c r="A23" s="14" t="s">
        <v>44</v>
      </c>
      <c r="B23" s="14" t="s">
        <v>45</v>
      </c>
      <c r="C23" s="11">
        <v>1.42</v>
      </c>
      <c r="D23" s="11">
        <v>1.17</v>
      </c>
      <c r="E23" s="11">
        <v>1</v>
      </c>
      <c r="F23" s="11">
        <v>0.86</v>
      </c>
      <c r="G23" s="11">
        <v>0.7</v>
      </c>
      <c r="H23" s="14" t="s">
        <v>27</v>
      </c>
    </row>
    <row r="24" spans="1:9" ht="23" customHeight="1">
      <c r="A24" s="14" t="s">
        <v>46</v>
      </c>
      <c r="B24" s="14" t="s">
        <v>47</v>
      </c>
      <c r="C24" s="11">
        <v>1.21</v>
      </c>
      <c r="D24" s="11">
        <v>1.1</v>
      </c>
      <c r="E24" s="11">
        <v>1</v>
      </c>
      <c r="F24" s="11">
        <v>0.9</v>
      </c>
      <c r="G24" s="14" t="s">
        <v>27</v>
      </c>
      <c r="H24" s="14" t="s">
        <v>27</v>
      </c>
    </row>
    <row r="25" spans="1:9" ht="23" customHeight="1">
      <c r="A25" s="14" t="s">
        <v>48</v>
      </c>
      <c r="B25" s="14" t="s">
        <v>49</v>
      </c>
      <c r="C25" s="11">
        <v>1.14</v>
      </c>
      <c r="D25" s="11">
        <v>1.07</v>
      </c>
      <c r="E25" s="11">
        <v>1</v>
      </c>
      <c r="F25" s="11">
        <v>0.95</v>
      </c>
      <c r="G25" s="14" t="s">
        <v>27</v>
      </c>
      <c r="H25" s="14" t="s">
        <v>27</v>
      </c>
    </row>
    <row r="26" spans="1:9" ht="23" customHeight="1">
      <c r="A26" s="14" t="s">
        <v>50</v>
      </c>
      <c r="B26" s="14" t="s">
        <v>51</v>
      </c>
      <c r="C26" s="11">
        <v>1.24</v>
      </c>
      <c r="D26" s="11">
        <v>1.1</v>
      </c>
      <c r="E26" s="11">
        <v>1</v>
      </c>
      <c r="F26" s="11">
        <v>0.91</v>
      </c>
      <c r="G26" s="11">
        <v>0.82</v>
      </c>
      <c r="H26" s="14" t="s">
        <v>27</v>
      </c>
    </row>
    <row r="27" spans="1:9" ht="23" customHeight="1">
      <c r="A27" s="14" t="s">
        <v>52</v>
      </c>
      <c r="B27" s="14" t="s">
        <v>53</v>
      </c>
      <c r="C27" s="11">
        <v>1.24</v>
      </c>
      <c r="D27" s="11">
        <v>1.1</v>
      </c>
      <c r="E27" s="11">
        <v>1</v>
      </c>
      <c r="F27" s="11">
        <v>0.91</v>
      </c>
      <c r="G27" s="11">
        <v>0.83</v>
      </c>
      <c r="H27" s="14" t="s">
        <v>27</v>
      </c>
    </row>
    <row r="28" spans="1:9" ht="23" customHeight="1">
      <c r="A28" s="14" t="s">
        <v>54</v>
      </c>
      <c r="B28" s="14" t="s">
        <v>55</v>
      </c>
      <c r="C28" s="11">
        <v>1.23</v>
      </c>
      <c r="D28" s="11">
        <v>1.08</v>
      </c>
      <c r="E28" s="11">
        <v>1</v>
      </c>
      <c r="F28" s="11">
        <v>1.04</v>
      </c>
      <c r="G28" s="11">
        <v>1.1</v>
      </c>
      <c r="H28" s="14" t="s">
        <v>27</v>
      </c>
    </row>
    <row r="30" spans="1:9" ht="23" customHeight="1">
      <c r="A30" s="16" t="s">
        <v>56</v>
      </c>
      <c r="B30" s="16"/>
      <c r="C30" s="16"/>
      <c r="D30" s="16"/>
      <c r="E30" s="16"/>
      <c r="F30" s="16"/>
      <c r="G30" s="16"/>
      <c r="H30" s="16"/>
      <c r="I30" s="16"/>
    </row>
    <row r="31" spans="1:9" ht="23" customHeight="1">
      <c r="A31" s="16"/>
      <c r="B31" s="16"/>
      <c r="C31" s="16"/>
      <c r="D31" s="16"/>
      <c r="E31" s="16"/>
      <c r="F31" s="16"/>
      <c r="G31" s="16"/>
      <c r="H31" s="16"/>
      <c r="I31" s="16"/>
    </row>
    <row r="33" spans="1:9" ht="23" customHeight="1">
      <c r="A33" s="3" t="s">
        <v>57</v>
      </c>
      <c r="B33" s="3"/>
      <c r="C33" s="3"/>
      <c r="D33" s="3"/>
      <c r="E33" s="3"/>
      <c r="F33" s="3"/>
      <c r="G33" s="3"/>
      <c r="H33" s="3"/>
      <c r="I33" s="3"/>
    </row>
    <row r="34" spans="1:9" ht="36" customHeight="1">
      <c r="A34" s="13" t="s">
        <v>3</v>
      </c>
      <c r="B34" s="13" t="s">
        <v>58</v>
      </c>
      <c r="C34" s="13" t="s">
        <v>59</v>
      </c>
      <c r="D34" s="13" t="s">
        <v>60</v>
      </c>
      <c r="E34" s="13" t="s">
        <v>61</v>
      </c>
      <c r="F34" s="13" t="s">
        <v>62</v>
      </c>
    </row>
    <row r="35" spans="1:9" ht="23" customHeight="1">
      <c r="A35" s="14" t="s">
        <v>12</v>
      </c>
      <c r="B35" s="20">
        <v>2</v>
      </c>
      <c r="C35" s="17">
        <v>0.16</v>
      </c>
      <c r="D35" s="17">
        <v>0.26</v>
      </c>
      <c r="E35" s="17">
        <v>0.42</v>
      </c>
      <c r="F35" s="17">
        <v>0.16</v>
      </c>
    </row>
    <row r="36" spans="1:9" ht="23" customHeight="1">
      <c r="A36" s="14" t="s">
        <v>12</v>
      </c>
      <c r="B36" s="20">
        <v>8</v>
      </c>
      <c r="C36" s="17">
        <v>0.16</v>
      </c>
      <c r="D36" s="17">
        <v>0.25</v>
      </c>
      <c r="E36" s="17">
        <v>0.4</v>
      </c>
      <c r="F36" s="17">
        <v>0.19</v>
      </c>
    </row>
    <row r="37" spans="1:9" ht="23" customHeight="1">
      <c r="A37" s="14" t="s">
        <v>12</v>
      </c>
      <c r="B37" s="20">
        <v>32</v>
      </c>
      <c r="C37" s="17">
        <v>0.16</v>
      </c>
      <c r="D37" s="17">
        <v>0.24</v>
      </c>
      <c r="E37" s="17">
        <v>0.38</v>
      </c>
      <c r="F37" s="17">
        <v>0.22</v>
      </c>
    </row>
    <row r="38" spans="1:9" ht="23" customHeight="1">
      <c r="A38" s="14" t="s">
        <v>12</v>
      </c>
      <c r="B38" s="20">
        <v>128</v>
      </c>
      <c r="C38" s="17">
        <v>0.16</v>
      </c>
      <c r="D38" s="17">
        <v>0.23</v>
      </c>
      <c r="E38" s="17">
        <v>0.36</v>
      </c>
      <c r="F38" s="17">
        <v>0.25</v>
      </c>
    </row>
    <row r="39" spans="1:9" ht="23" customHeight="1">
      <c r="A39" s="14" t="s">
        <v>13</v>
      </c>
      <c r="B39" s="20">
        <v>2</v>
      </c>
      <c r="C39" s="17">
        <v>0.17</v>
      </c>
      <c r="D39" s="17">
        <v>0.27</v>
      </c>
      <c r="E39" s="17">
        <v>0.37</v>
      </c>
      <c r="F39" s="17">
        <v>0.19</v>
      </c>
    </row>
    <row r="40" spans="1:9" ht="23" customHeight="1">
      <c r="A40" s="14" t="s">
        <v>13</v>
      </c>
      <c r="B40" s="20">
        <v>8</v>
      </c>
      <c r="C40" s="17">
        <v>0.17</v>
      </c>
      <c r="D40" s="17">
        <v>0.26</v>
      </c>
      <c r="E40" s="17">
        <v>0.36</v>
      </c>
      <c r="F40" s="17">
        <v>0.21</v>
      </c>
    </row>
    <row r="41" spans="1:9" ht="23" customHeight="1">
      <c r="A41" s="14" t="s">
        <v>13</v>
      </c>
      <c r="B41" s="20">
        <v>32</v>
      </c>
      <c r="C41" s="17">
        <v>0.17</v>
      </c>
      <c r="D41" s="17">
        <v>0.25</v>
      </c>
      <c r="E41" s="17">
        <v>0.35</v>
      </c>
      <c r="F41" s="17">
        <v>0.23</v>
      </c>
    </row>
    <row r="42" spans="1:9" ht="23" customHeight="1">
      <c r="A42" s="14" t="s">
        <v>13</v>
      </c>
      <c r="B42" s="20">
        <v>128</v>
      </c>
      <c r="C42" s="17">
        <v>0.17</v>
      </c>
      <c r="D42" s="17">
        <v>0.24</v>
      </c>
      <c r="E42" s="17">
        <v>0.34</v>
      </c>
      <c r="F42" s="17">
        <v>0.25</v>
      </c>
    </row>
    <row r="43" spans="1:9" ht="23" customHeight="1">
      <c r="A43" s="14" t="s">
        <v>13</v>
      </c>
      <c r="B43" s="20">
        <v>512</v>
      </c>
      <c r="C43" s="17">
        <v>0.17</v>
      </c>
      <c r="D43" s="17">
        <v>0.23</v>
      </c>
      <c r="E43" s="17">
        <v>0.33</v>
      </c>
      <c r="F43" s="17">
        <v>0.27</v>
      </c>
    </row>
    <row r="44" spans="1:9" ht="23" customHeight="1">
      <c r="A44" s="14" t="s">
        <v>14</v>
      </c>
      <c r="B44" s="20">
        <v>2</v>
      </c>
      <c r="C44" s="17">
        <v>0.18</v>
      </c>
      <c r="D44" s="17">
        <v>0.28</v>
      </c>
      <c r="E44" s="17">
        <v>0.34</v>
      </c>
      <c r="F44" s="17">
        <v>0.2</v>
      </c>
    </row>
    <row r="45" spans="1:9" ht="23" customHeight="1">
      <c r="A45" s="14" t="s">
        <v>14</v>
      </c>
      <c r="B45" s="20">
        <v>8</v>
      </c>
      <c r="C45" s="17">
        <v>0.18</v>
      </c>
      <c r="D45" s="17">
        <v>0.27</v>
      </c>
      <c r="E45" s="17">
        <v>0.33</v>
      </c>
      <c r="F45" s="17">
        <v>0.22</v>
      </c>
    </row>
    <row r="46" spans="1:9" ht="23" customHeight="1">
      <c r="A46" s="14" t="s">
        <v>14</v>
      </c>
      <c r="B46" s="20">
        <v>32</v>
      </c>
      <c r="C46" s="17">
        <v>0.18</v>
      </c>
      <c r="D46" s="17">
        <v>0.26</v>
      </c>
      <c r="E46" s="17">
        <v>0.32</v>
      </c>
      <c r="F46" s="17">
        <v>0.24</v>
      </c>
    </row>
    <row r="47" spans="1:9" ht="23" customHeight="1">
      <c r="A47" s="14" t="s">
        <v>14</v>
      </c>
      <c r="B47" s="20">
        <v>128</v>
      </c>
      <c r="C47" s="17">
        <v>0.18</v>
      </c>
      <c r="D47" s="17">
        <v>0.25</v>
      </c>
      <c r="E47" s="17">
        <v>0.31</v>
      </c>
      <c r="F47" s="17">
        <v>0.26</v>
      </c>
    </row>
    <row r="48" spans="1:9" ht="23" customHeight="1">
      <c r="A48" s="14" t="s">
        <v>14</v>
      </c>
      <c r="B48" s="20">
        <v>512</v>
      </c>
      <c r="C48" s="17">
        <v>0.18</v>
      </c>
      <c r="D48" s="17">
        <v>0.24</v>
      </c>
      <c r="E48" s="17">
        <v>0.3</v>
      </c>
      <c r="F48" s="17">
        <v>0.28</v>
      </c>
    </row>
    <row r="50" spans="1:9" ht="23" customHeight="1">
      <c r="A50" s="16" t="s">
        <v>63</v>
      </c>
      <c r="B50" s="16"/>
      <c r="C50" s="16"/>
      <c r="D50" s="16"/>
      <c r="E50" s="16"/>
      <c r="F50" s="16"/>
      <c r="G50" s="16"/>
      <c r="H50" s="16"/>
      <c r="I50" s="16"/>
    </row>
    <row r="51" spans="1:9" ht="23" customHeight="1">
      <c r="A51" s="16"/>
      <c r="B51" s="16"/>
      <c r="C51" s="16"/>
      <c r="D51" s="16"/>
      <c r="E51" s="16"/>
      <c r="F51" s="16"/>
      <c r="G51" s="16"/>
      <c r="H51" s="16"/>
      <c r="I51" s="16"/>
    </row>
  </sheetData>
  <sheetProtection sheet="1" objects="1" scenarios="1"/>
  <mergeCells count="8">
    <mergeCell ref="A1:I1"/>
    <mergeCell ref="A2:I2"/>
    <mergeCell ref="A4:I4"/>
    <mergeCell ref="A10:I10"/>
    <mergeCell ref="A12:I12"/>
    <mergeCell ref="A30:I31"/>
    <mergeCell ref="A33:I33"/>
    <mergeCell ref="A50:I51"/>
  </mergeCells>
  <pageMargins left="0.25" right="0.25" top="0.3" bottom="0.3" header="0.12" footer="0.12"/>
  <pageSetup paperSize="9" fitToHeight="3" orientation="landscape"/>
  <headerFooter>
    <oddHeader>&amp;LCOCOMO 81&amp;RРасчёт проекта</oddHeader>
    <oddFooter>&amp;LГолубые ячейки — ввод&amp;RСтр. &amp;P / &amp;N</oddFooter>
  </headerFooter>
  <rowBreaks count="2" manualBreakCount="2">
    <brk id="11" max="16383" man="1"/>
    <brk id="31" max="16383" man="1"/>
  </rowBreak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2D4E"/>
    <pageSetUpPr fitToPage="1"/>
  </sheetPr>
  <dimension ref="A1:H51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3" customHeight="1"/>
  <cols>
    <col min="1" max="1" width="3.7109375" customWidth="1"/>
    <col min="2" max="2" width="30.7109375" customWidth="1"/>
    <col min="3" max="8" width="14.7109375" customWidth="1"/>
  </cols>
  <sheetData>
    <row r="1" spans="1:8" ht="39" customHeight="1">
      <c r="A1" s="1" t="s">
        <v>132</v>
      </c>
      <c r="B1" s="1"/>
      <c r="C1" s="1"/>
      <c r="D1" s="1"/>
      <c r="E1" s="1"/>
      <c r="F1" s="1"/>
      <c r="G1" s="1"/>
      <c r="H1" s="1"/>
    </row>
    <row r="2" spans="1:8" ht="28" customHeight="1">
      <c r="A2" s="2" t="s">
        <v>133</v>
      </c>
      <c r="B2" s="2"/>
      <c r="C2" s="2"/>
      <c r="D2" s="2"/>
      <c r="E2" s="2"/>
      <c r="F2" s="2"/>
      <c r="G2" s="2"/>
      <c r="H2" s="2"/>
    </row>
    <row r="4" spans="1:8" ht="23" customHeight="1">
      <c r="B4" s="3" t="s">
        <v>134</v>
      </c>
      <c r="C4" s="3"/>
      <c r="D4" s="3"/>
      <c r="E4" s="3"/>
      <c r="F4" s="3"/>
      <c r="G4" s="3"/>
      <c r="H4" s="3"/>
    </row>
    <row r="5" spans="1:8" ht="23" customHeight="1">
      <c r="B5" s="21" t="s">
        <v>135</v>
      </c>
      <c r="C5" s="21"/>
      <c r="D5" s="21"/>
      <c r="E5" s="21"/>
      <c r="F5" s="21"/>
      <c r="G5" s="21"/>
      <c r="H5" s="21"/>
    </row>
    <row r="6" spans="1:8" ht="23" customHeight="1">
      <c r="B6" s="21"/>
      <c r="C6" s="21"/>
      <c r="D6" s="21"/>
      <c r="E6" s="21"/>
      <c r="F6" s="21"/>
      <c r="G6" s="21"/>
      <c r="H6" s="21"/>
    </row>
    <row r="7" spans="1:8" ht="23" customHeight="1">
      <c r="B7" s="21"/>
      <c r="C7" s="21"/>
      <c r="D7" s="21"/>
      <c r="E7" s="21"/>
      <c r="F7" s="21"/>
      <c r="G7" s="21"/>
      <c r="H7" s="21"/>
    </row>
    <row r="8" spans="1:8" ht="23" customHeight="1">
      <c r="B8" s="16" t="s">
        <v>136</v>
      </c>
      <c r="C8" s="16"/>
      <c r="D8" s="16"/>
      <c r="E8" s="16"/>
      <c r="F8" s="16"/>
      <c r="G8" s="16"/>
      <c r="H8" s="16"/>
    </row>
    <row r="9" spans="1:8" ht="23" customHeight="1">
      <c r="B9" s="16"/>
      <c r="C9" s="16"/>
      <c r="D9" s="16"/>
      <c r="E9" s="16"/>
      <c r="F9" s="16"/>
      <c r="G9" s="16"/>
      <c r="H9" s="16"/>
    </row>
    <row r="11" spans="1:8" ht="23" customHeight="1">
      <c r="B11" s="3" t="s">
        <v>137</v>
      </c>
      <c r="C11" s="3"/>
      <c r="D11" s="3"/>
      <c r="E11" s="3"/>
      <c r="F11" s="3"/>
      <c r="G11" s="3"/>
      <c r="H11" s="3"/>
    </row>
    <row r="12" spans="1:8" ht="23" customHeight="1">
      <c r="B12" s="22" t="s">
        <v>138</v>
      </c>
      <c r="C12" s="22"/>
      <c r="D12" s="22"/>
      <c r="E12" s="22"/>
      <c r="F12" s="22"/>
      <c r="G12" s="22"/>
      <c r="H12" s="22"/>
    </row>
    <row r="13" spans="1:8" ht="23" customHeight="1">
      <c r="B13" s="22"/>
      <c r="C13" s="22"/>
      <c r="D13" s="22"/>
      <c r="E13" s="22"/>
      <c r="F13" s="22"/>
      <c r="G13" s="22"/>
      <c r="H13" s="22"/>
    </row>
    <row r="14" spans="1:8" ht="23" customHeight="1">
      <c r="B14" s="22" t="s">
        <v>139</v>
      </c>
      <c r="C14" s="22"/>
      <c r="D14" s="22"/>
      <c r="E14" s="22"/>
      <c r="F14" s="22"/>
      <c r="G14" s="22"/>
      <c r="H14" s="22"/>
    </row>
    <row r="15" spans="1:8" ht="23" customHeight="1">
      <c r="B15" s="22"/>
      <c r="C15" s="22"/>
      <c r="D15" s="22"/>
      <c r="E15" s="22"/>
      <c r="F15" s="22"/>
      <c r="G15" s="22"/>
      <c r="H15" s="22"/>
    </row>
    <row r="16" spans="1:8" ht="23" customHeight="1">
      <c r="B16" s="22" t="s">
        <v>140</v>
      </c>
      <c r="C16" s="22"/>
      <c r="D16" s="22"/>
      <c r="E16" s="22"/>
      <c r="F16" s="22"/>
      <c r="G16" s="22"/>
      <c r="H16" s="22"/>
    </row>
    <row r="17" spans="2:8" ht="23" customHeight="1">
      <c r="B17" s="22"/>
      <c r="C17" s="22"/>
      <c r="D17" s="22"/>
      <c r="E17" s="22"/>
      <c r="F17" s="22"/>
      <c r="G17" s="22"/>
      <c r="H17" s="22"/>
    </row>
    <row r="18" spans="2:8" ht="23" customHeight="1">
      <c r="B18" s="22"/>
      <c r="C18" s="22"/>
      <c r="D18" s="22"/>
      <c r="E18" s="22"/>
      <c r="F18" s="22"/>
      <c r="G18" s="22"/>
      <c r="H18" s="22"/>
    </row>
    <row r="19" spans="2:8" ht="23" customHeight="1">
      <c r="B19" s="21" t="s">
        <v>141</v>
      </c>
      <c r="C19" s="21"/>
      <c r="D19" s="21"/>
      <c r="E19" s="21"/>
      <c r="F19" s="21"/>
      <c r="G19" s="21"/>
      <c r="H19" s="21"/>
    </row>
    <row r="20" spans="2:8" ht="23" customHeight="1">
      <c r="B20" s="21"/>
      <c r="C20" s="21"/>
      <c r="D20" s="21"/>
      <c r="E20" s="21"/>
      <c r="F20" s="21"/>
      <c r="G20" s="21"/>
      <c r="H20" s="21"/>
    </row>
    <row r="21" spans="2:8" ht="23" customHeight="1">
      <c r="B21" s="21" t="s">
        <v>142</v>
      </c>
      <c r="C21" s="21"/>
      <c r="D21" s="21"/>
      <c r="E21" s="21"/>
      <c r="F21" s="21"/>
      <c r="G21" s="21"/>
      <c r="H21" s="21"/>
    </row>
    <row r="22" spans="2:8" ht="23" customHeight="1">
      <c r="B22" s="21"/>
      <c r="C22" s="21"/>
      <c r="D22" s="21"/>
      <c r="E22" s="21"/>
      <c r="F22" s="21"/>
      <c r="G22" s="21"/>
      <c r="H22" s="21"/>
    </row>
    <row r="23" spans="2:8" ht="23" customHeight="1">
      <c r="B23" s="21"/>
      <c r="C23" s="21"/>
      <c r="D23" s="21"/>
      <c r="E23" s="21"/>
      <c r="F23" s="21"/>
      <c r="G23" s="21"/>
      <c r="H23" s="21"/>
    </row>
    <row r="25" spans="2:8" ht="23" customHeight="1">
      <c r="B25" s="3" t="s">
        <v>143</v>
      </c>
      <c r="C25" s="3"/>
      <c r="D25" s="3"/>
      <c r="E25" s="3"/>
      <c r="F25" s="3"/>
      <c r="G25" s="3"/>
      <c r="H25" s="3"/>
    </row>
    <row r="26" spans="2:8" ht="23" customHeight="1">
      <c r="B26" s="21" t="s">
        <v>144</v>
      </c>
      <c r="C26" s="21"/>
      <c r="D26" s="21"/>
      <c r="E26" s="21"/>
      <c r="F26" s="21"/>
      <c r="G26" s="21"/>
      <c r="H26" s="21"/>
    </row>
    <row r="27" spans="2:8" ht="23" customHeight="1">
      <c r="B27" s="21"/>
      <c r="C27" s="21"/>
      <c r="D27" s="21"/>
      <c r="E27" s="21"/>
      <c r="F27" s="21"/>
      <c r="G27" s="21"/>
      <c r="H27" s="21"/>
    </row>
    <row r="28" spans="2:8" ht="23" customHeight="1">
      <c r="B28" s="21"/>
      <c r="C28" s="21"/>
      <c r="D28" s="21"/>
      <c r="E28" s="21"/>
      <c r="F28" s="21"/>
      <c r="G28" s="21"/>
      <c r="H28" s="21"/>
    </row>
    <row r="29" spans="2:8" ht="23" customHeight="1">
      <c r="B29" s="21"/>
      <c r="C29" s="21"/>
      <c r="D29" s="21"/>
      <c r="E29" s="21"/>
      <c r="F29" s="21"/>
      <c r="G29" s="21"/>
      <c r="H29" s="21"/>
    </row>
    <row r="30" spans="2:8" ht="23" customHeight="1">
      <c r="B30" s="18" t="s">
        <v>145</v>
      </c>
      <c r="C30" s="18"/>
      <c r="D30" s="18"/>
      <c r="E30" s="18"/>
      <c r="F30" s="18"/>
      <c r="G30" s="18"/>
      <c r="H30" s="18"/>
    </row>
    <row r="31" spans="2:8" ht="23" customHeight="1">
      <c r="B31" s="18"/>
      <c r="C31" s="18"/>
      <c r="D31" s="18"/>
      <c r="E31" s="18"/>
      <c r="F31" s="18"/>
      <c r="G31" s="18"/>
      <c r="H31" s="18"/>
    </row>
    <row r="32" spans="2:8" ht="23" customHeight="1">
      <c r="B32" s="18"/>
      <c r="C32" s="18"/>
      <c r="D32" s="18"/>
      <c r="E32" s="18"/>
      <c r="F32" s="18"/>
      <c r="G32" s="18"/>
      <c r="H32" s="18"/>
    </row>
    <row r="34" spans="2:8" ht="23" customHeight="1">
      <c r="B34" s="3" t="s">
        <v>146</v>
      </c>
      <c r="C34" s="3"/>
      <c r="D34" s="3"/>
      <c r="E34" s="3"/>
      <c r="F34" s="3"/>
      <c r="G34" s="3"/>
      <c r="H34" s="3"/>
    </row>
    <row r="35" spans="2:8" ht="23" customHeight="1">
      <c r="B35" s="21" t="s">
        <v>147</v>
      </c>
      <c r="C35" s="21"/>
      <c r="D35" s="21"/>
      <c r="E35" s="21"/>
      <c r="F35" s="21"/>
      <c r="G35" s="21"/>
      <c r="H35" s="21"/>
    </row>
    <row r="36" spans="2:8" ht="23" customHeight="1">
      <c r="B36" s="21"/>
      <c r="C36" s="21"/>
      <c r="D36" s="21"/>
      <c r="E36" s="21"/>
      <c r="F36" s="21"/>
      <c r="G36" s="21"/>
      <c r="H36" s="21"/>
    </row>
    <row r="37" spans="2:8" ht="23" customHeight="1">
      <c r="B37" s="21"/>
      <c r="C37" s="21"/>
      <c r="D37" s="21"/>
      <c r="E37" s="21"/>
      <c r="F37" s="21"/>
      <c r="G37" s="21"/>
      <c r="H37" s="21"/>
    </row>
    <row r="38" spans="2:8" ht="23" customHeight="1">
      <c r="B38" s="21"/>
      <c r="C38" s="21"/>
      <c r="D38" s="21"/>
      <c r="E38" s="21"/>
      <c r="F38" s="21"/>
      <c r="G38" s="21"/>
      <c r="H38" s="21"/>
    </row>
    <row r="39" spans="2:8" ht="23" customHeight="1">
      <c r="B39" s="16" t="s">
        <v>148</v>
      </c>
      <c r="C39" s="16"/>
      <c r="D39" s="16"/>
      <c r="E39" s="16"/>
      <c r="F39" s="16"/>
      <c r="G39" s="16"/>
      <c r="H39" s="16"/>
    </row>
    <row r="40" spans="2:8" ht="23" customHeight="1">
      <c r="B40" s="16"/>
      <c r="C40" s="16"/>
      <c r="D40" s="16"/>
      <c r="E40" s="16"/>
      <c r="F40" s="16"/>
      <c r="G40" s="16"/>
      <c r="H40" s="16"/>
    </row>
    <row r="42" spans="2:8" ht="23" customHeight="1">
      <c r="B42" s="3" t="s">
        <v>149</v>
      </c>
      <c r="C42" s="3"/>
      <c r="D42" s="3"/>
      <c r="E42" s="3"/>
      <c r="F42" s="3"/>
      <c r="G42" s="3"/>
      <c r="H42" s="3"/>
    </row>
    <row r="43" spans="2:8" ht="23" customHeight="1">
      <c r="B43" s="21" t="s">
        <v>150</v>
      </c>
      <c r="C43" s="21"/>
      <c r="D43" s="21"/>
      <c r="E43" s="21"/>
      <c r="F43" s="21"/>
      <c r="G43" s="21"/>
      <c r="H43" s="21"/>
    </row>
    <row r="44" spans="2:8" ht="23" customHeight="1">
      <c r="B44" s="21"/>
      <c r="C44" s="21"/>
      <c r="D44" s="21"/>
      <c r="E44" s="21"/>
      <c r="F44" s="21"/>
      <c r="G44" s="21"/>
      <c r="H44" s="21"/>
    </row>
    <row r="45" spans="2:8" ht="23" customHeight="1">
      <c r="B45" s="21"/>
      <c r="C45" s="21"/>
      <c r="D45" s="21"/>
      <c r="E45" s="21"/>
      <c r="F45" s="21"/>
      <c r="G45" s="21"/>
      <c r="H45" s="21"/>
    </row>
    <row r="47" spans="2:8" ht="23" customHeight="1">
      <c r="B47" s="3" t="s">
        <v>151</v>
      </c>
      <c r="C47" s="3"/>
      <c r="D47" s="3"/>
      <c r="E47" s="3"/>
      <c r="F47" s="3"/>
      <c r="G47" s="3"/>
      <c r="H47" s="3"/>
    </row>
    <row r="48" spans="2:8" ht="23" customHeight="1">
      <c r="B48" s="21" t="s">
        <v>152</v>
      </c>
      <c r="C48" s="21"/>
      <c r="D48" s="21"/>
      <c r="E48" s="21"/>
      <c r="F48" s="21"/>
      <c r="G48" s="21"/>
      <c r="H48" s="21"/>
    </row>
    <row r="49" spans="2:8" ht="23" customHeight="1">
      <c r="B49" s="21"/>
      <c r="C49" s="21"/>
      <c r="D49" s="21"/>
      <c r="E49" s="21"/>
      <c r="F49" s="21"/>
      <c r="G49" s="21"/>
      <c r="H49" s="21"/>
    </row>
    <row r="50" spans="2:8" ht="23" customHeight="1">
      <c r="B50" s="18" t="s">
        <v>153</v>
      </c>
      <c r="C50" s="18"/>
      <c r="D50" s="18"/>
      <c r="E50" s="18"/>
      <c r="F50" s="18"/>
      <c r="G50" s="18"/>
      <c r="H50" s="18"/>
    </row>
    <row r="51" spans="2:8" ht="23" customHeight="1">
      <c r="B51" s="18"/>
      <c r="C51" s="18"/>
      <c r="D51" s="18"/>
      <c r="E51" s="18"/>
      <c r="F51" s="18"/>
      <c r="G51" s="18"/>
      <c r="H51" s="18"/>
    </row>
  </sheetData>
  <sheetProtection sheet="1" objects="1" scenarios="1"/>
  <mergeCells count="22">
    <mergeCell ref="A1:H1"/>
    <mergeCell ref="A2:H2"/>
    <mergeCell ref="B4:H4"/>
    <mergeCell ref="B5:H7"/>
    <mergeCell ref="B8:H9"/>
    <mergeCell ref="B11:H11"/>
    <mergeCell ref="B12:H13"/>
    <mergeCell ref="B14:H15"/>
    <mergeCell ref="B16:H18"/>
    <mergeCell ref="B19:H20"/>
    <mergeCell ref="B21:H23"/>
    <mergeCell ref="B25:H25"/>
    <mergeCell ref="B26:H29"/>
    <mergeCell ref="B30:H32"/>
    <mergeCell ref="B34:H34"/>
    <mergeCell ref="B35:H38"/>
    <mergeCell ref="B39:H40"/>
    <mergeCell ref="B42:H42"/>
    <mergeCell ref="B43:H45"/>
    <mergeCell ref="B47:H47"/>
    <mergeCell ref="B48:H49"/>
    <mergeCell ref="B50:H51"/>
  </mergeCells>
  <pageMargins left="0.25" right="0.25" top="0.3" bottom="0.3" header="0.12" footer="0.12"/>
  <pageSetup paperSize="9" fitToHeight="3" orientation="landscape"/>
  <headerFooter>
    <oddHeader>&amp;LCOCOMO 81&amp;RРасчёт проекта</oddHeader>
    <oddFooter>&amp;LГолубые ячейки — ввод&amp;RСтр. &amp;P / &amp;N</oddFooter>
  </headerFooter>
  <rowBreaks count="2" manualBreakCount="2">
    <brk id="24" max="16383" man="1"/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42D4E"/>
  </sheetPr>
  <dimension ref="A1:AF7"/>
  <sheetViews>
    <sheetView showGridLines="0" zoomScale="90" zoomScaleNormal="90" workbookViewId="0"/>
  </sheetViews>
  <sheetFormatPr defaultRowHeight="23" customHeight="1"/>
  <sheetData>
    <row r="1" spans="1:32" ht="23" customHeight="1">
      <c r="A1" t="s">
        <v>12</v>
      </c>
      <c r="B1" t="s">
        <v>64</v>
      </c>
      <c r="C1" t="s">
        <v>19</v>
      </c>
      <c r="D1" t="s">
        <v>66</v>
      </c>
      <c r="E1" t="s">
        <v>20</v>
      </c>
      <c r="F1" t="s">
        <v>66</v>
      </c>
      <c r="G1" t="s">
        <v>19</v>
      </c>
      <c r="H1" t="s">
        <v>66</v>
      </c>
      <c r="I1" t="s">
        <v>21</v>
      </c>
      <c r="J1" t="s">
        <v>66</v>
      </c>
      <c r="K1" t="s">
        <v>21</v>
      </c>
      <c r="L1" t="s">
        <v>66</v>
      </c>
      <c r="M1" t="s">
        <v>20</v>
      </c>
      <c r="N1" t="s">
        <v>66</v>
      </c>
      <c r="O1" t="s">
        <v>20</v>
      </c>
      <c r="P1" t="s">
        <v>66</v>
      </c>
      <c r="Q1" t="s">
        <v>19</v>
      </c>
      <c r="R1" t="s">
        <v>66</v>
      </c>
      <c r="S1" t="s">
        <v>19</v>
      </c>
      <c r="T1" t="s">
        <v>66</v>
      </c>
      <c r="U1" t="s">
        <v>19</v>
      </c>
      <c r="V1" t="s">
        <v>66</v>
      </c>
      <c r="W1" t="s">
        <v>19</v>
      </c>
      <c r="X1" t="s">
        <v>66</v>
      </c>
      <c r="Y1" t="s">
        <v>19</v>
      </c>
      <c r="Z1" t="s">
        <v>66</v>
      </c>
      <c r="AA1" t="s">
        <v>19</v>
      </c>
      <c r="AB1" t="s">
        <v>66</v>
      </c>
      <c r="AC1" t="s">
        <v>19</v>
      </c>
      <c r="AD1" t="s">
        <v>66</v>
      </c>
      <c r="AE1" t="s">
        <v>19</v>
      </c>
      <c r="AF1" t="s">
        <v>66</v>
      </c>
    </row>
    <row r="2" spans="1:32" ht="23" customHeight="1">
      <c r="A2" t="s">
        <v>13</v>
      </c>
      <c r="B2" t="s">
        <v>65</v>
      </c>
      <c r="C2" t="s">
        <v>20</v>
      </c>
      <c r="D2" t="s">
        <v>19</v>
      </c>
      <c r="E2" t="s">
        <v>21</v>
      </c>
      <c r="F2" t="s">
        <v>20</v>
      </c>
      <c r="G2" t="s">
        <v>20</v>
      </c>
      <c r="H2" t="s">
        <v>19</v>
      </c>
      <c r="I2" t="s">
        <v>22</v>
      </c>
      <c r="J2" t="s">
        <v>21</v>
      </c>
      <c r="K2" t="s">
        <v>22</v>
      </c>
      <c r="L2" t="s">
        <v>21</v>
      </c>
      <c r="M2" t="s">
        <v>21</v>
      </c>
      <c r="N2" t="s">
        <v>20</v>
      </c>
      <c r="O2" t="s">
        <v>21</v>
      </c>
      <c r="P2" t="s">
        <v>20</v>
      </c>
      <c r="Q2" t="s">
        <v>20</v>
      </c>
      <c r="R2" t="s">
        <v>19</v>
      </c>
      <c r="S2" t="s">
        <v>20</v>
      </c>
      <c r="T2" t="s">
        <v>19</v>
      </c>
      <c r="U2" t="s">
        <v>20</v>
      </c>
      <c r="V2" t="s">
        <v>19</v>
      </c>
      <c r="W2" t="s">
        <v>20</v>
      </c>
      <c r="X2" t="s">
        <v>19</v>
      </c>
      <c r="Y2" t="s">
        <v>20</v>
      </c>
      <c r="Z2" t="s">
        <v>19</v>
      </c>
      <c r="AA2" t="s">
        <v>20</v>
      </c>
      <c r="AB2" t="s">
        <v>19</v>
      </c>
      <c r="AC2" t="s">
        <v>20</v>
      </c>
      <c r="AD2" t="s">
        <v>19</v>
      </c>
      <c r="AE2" t="s">
        <v>20</v>
      </c>
      <c r="AF2" t="s">
        <v>19</v>
      </c>
    </row>
    <row r="3" spans="1:32" ht="23" customHeight="1">
      <c r="A3" t="s">
        <v>14</v>
      </c>
      <c r="C3" t="s">
        <v>21</v>
      </c>
      <c r="D3" t="s">
        <v>20</v>
      </c>
      <c r="E3" t="s">
        <v>22</v>
      </c>
      <c r="F3" t="s">
        <v>21</v>
      </c>
      <c r="G3" t="s">
        <v>21</v>
      </c>
      <c r="H3" t="s">
        <v>20</v>
      </c>
      <c r="I3" t="s">
        <v>23</v>
      </c>
      <c r="J3" t="s">
        <v>22</v>
      </c>
      <c r="K3" t="s">
        <v>23</v>
      </c>
      <c r="L3" t="s">
        <v>22</v>
      </c>
      <c r="M3" t="s">
        <v>22</v>
      </c>
      <c r="N3" t="s">
        <v>21</v>
      </c>
      <c r="O3" t="s">
        <v>22</v>
      </c>
      <c r="P3" t="s">
        <v>21</v>
      </c>
      <c r="Q3" t="s">
        <v>21</v>
      </c>
      <c r="R3" t="s">
        <v>20</v>
      </c>
      <c r="S3" t="s">
        <v>21</v>
      </c>
      <c r="T3" t="s">
        <v>20</v>
      </c>
      <c r="U3" t="s">
        <v>21</v>
      </c>
      <c r="V3" t="s">
        <v>20</v>
      </c>
      <c r="W3" t="s">
        <v>21</v>
      </c>
      <c r="X3" t="s">
        <v>20</v>
      </c>
      <c r="Y3" t="s">
        <v>21</v>
      </c>
      <c r="Z3" t="s">
        <v>20</v>
      </c>
      <c r="AA3" t="s">
        <v>21</v>
      </c>
      <c r="AB3" t="s">
        <v>20</v>
      </c>
      <c r="AC3" t="s">
        <v>21</v>
      </c>
      <c r="AD3" t="s">
        <v>20</v>
      </c>
      <c r="AE3" t="s">
        <v>21</v>
      </c>
      <c r="AF3" t="s">
        <v>20</v>
      </c>
    </row>
    <row r="4" spans="1:32" ht="23" customHeight="1">
      <c r="C4" t="s">
        <v>22</v>
      </c>
      <c r="D4" t="s">
        <v>21</v>
      </c>
      <c r="E4" t="s">
        <v>23</v>
      </c>
      <c r="F4" t="s">
        <v>22</v>
      </c>
      <c r="G4" t="s">
        <v>22</v>
      </c>
      <c r="H4" t="s">
        <v>21</v>
      </c>
      <c r="I4" t="s">
        <v>24</v>
      </c>
      <c r="J4" t="s">
        <v>23</v>
      </c>
      <c r="K4" t="s">
        <v>24</v>
      </c>
      <c r="L4" t="s">
        <v>23</v>
      </c>
      <c r="M4" t="s">
        <v>23</v>
      </c>
      <c r="N4" t="s">
        <v>22</v>
      </c>
      <c r="O4" t="s">
        <v>23</v>
      </c>
      <c r="P4" t="s">
        <v>22</v>
      </c>
      <c r="Q4" t="s">
        <v>22</v>
      </c>
      <c r="R4" t="s">
        <v>21</v>
      </c>
      <c r="S4" t="s">
        <v>22</v>
      </c>
      <c r="T4" t="s">
        <v>21</v>
      </c>
      <c r="U4" t="s">
        <v>22</v>
      </c>
      <c r="V4" t="s">
        <v>21</v>
      </c>
      <c r="W4" t="s">
        <v>22</v>
      </c>
      <c r="X4" t="s">
        <v>21</v>
      </c>
      <c r="Y4" t="s">
        <v>22</v>
      </c>
      <c r="Z4" t="s">
        <v>21</v>
      </c>
      <c r="AA4" t="s">
        <v>22</v>
      </c>
      <c r="AB4" t="s">
        <v>21</v>
      </c>
      <c r="AC4" t="s">
        <v>22</v>
      </c>
      <c r="AD4" t="s">
        <v>21</v>
      </c>
      <c r="AE4" t="s">
        <v>22</v>
      </c>
      <c r="AF4" t="s">
        <v>21</v>
      </c>
    </row>
    <row r="5" spans="1:32" ht="23" customHeight="1">
      <c r="C5" t="s">
        <v>23</v>
      </c>
      <c r="D5" t="s">
        <v>22</v>
      </c>
      <c r="F5" t="s">
        <v>23</v>
      </c>
      <c r="G5" t="s">
        <v>23</v>
      </c>
      <c r="H5" t="s">
        <v>22</v>
      </c>
      <c r="J5" t="s">
        <v>24</v>
      </c>
      <c r="L5" t="s">
        <v>24</v>
      </c>
      <c r="N5" t="s">
        <v>23</v>
      </c>
      <c r="P5" t="s">
        <v>23</v>
      </c>
      <c r="Q5" t="s">
        <v>23</v>
      </c>
      <c r="R5" t="s">
        <v>22</v>
      </c>
      <c r="S5" t="s">
        <v>23</v>
      </c>
      <c r="T5" t="s">
        <v>22</v>
      </c>
      <c r="U5" t="s">
        <v>23</v>
      </c>
      <c r="V5" t="s">
        <v>22</v>
      </c>
      <c r="X5" t="s">
        <v>22</v>
      </c>
      <c r="Z5" t="s">
        <v>22</v>
      </c>
      <c r="AA5" t="s">
        <v>23</v>
      </c>
      <c r="AB5" t="s">
        <v>22</v>
      </c>
      <c r="AC5" t="s">
        <v>23</v>
      </c>
      <c r="AD5" t="s">
        <v>22</v>
      </c>
      <c r="AE5" t="s">
        <v>23</v>
      </c>
      <c r="AF5" t="s">
        <v>22</v>
      </c>
    </row>
    <row r="6" spans="1:32" ht="23" customHeight="1">
      <c r="D6" t="s">
        <v>23</v>
      </c>
      <c r="G6" t="s">
        <v>24</v>
      </c>
      <c r="H6" t="s">
        <v>23</v>
      </c>
      <c r="R6" t="s">
        <v>23</v>
      </c>
      <c r="T6" t="s">
        <v>23</v>
      </c>
      <c r="V6" t="s">
        <v>23</v>
      </c>
      <c r="AB6" t="s">
        <v>23</v>
      </c>
      <c r="AD6" t="s">
        <v>23</v>
      </c>
      <c r="AF6" t="s">
        <v>23</v>
      </c>
    </row>
    <row r="7" spans="1:32" ht="23" customHeight="1">
      <c r="H7" t="s">
        <v>24</v>
      </c>
    </row>
  </sheetData>
  <pageMargins left="0.25" right="0.25" top="0.3" bottom="0.3" header="0.12" footer="0.12"/>
  <pageSetup paperSize="9" orientation="portrait"/>
  <headerFooter>
    <oddHeader>&amp;LCOCOMO 81&amp;RРасчёт проекта</oddHeader>
    <oddFooter>&amp;LГолубые ячейки — ввод&amp;RСтр.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57</vt:i4>
      </vt:variant>
    </vt:vector>
  </HeadingPairs>
  <TitlesOfParts>
    <vt:vector size="63" baseType="lpstr">
      <vt:lpstr>Калькулятор</vt:lpstr>
      <vt:lpstr>Факторы</vt:lpstr>
      <vt:lpstr>Фазы</vt:lpstr>
      <vt:lpstr>Справочник</vt:lpstr>
      <vt:lpstr>Инструкция</vt:lpstr>
      <vt:lpstr>Списки</vt:lpstr>
      <vt:lpstr>BasicA</vt:lpstr>
      <vt:lpstr>BasicB</vt:lpstr>
      <vt:lpstr>BasicC</vt:lpstr>
      <vt:lpstr>BasicD</vt:lpstr>
      <vt:lpstr>FixedCosts</vt:lpstr>
      <vt:lpstr>GlobalEAF</vt:lpstr>
      <vt:lpstr>HoursMonth</vt:lpstr>
      <vt:lpstr>InterA</vt:lpstr>
      <vt:lpstr>InterB</vt:lpstr>
      <vt:lpstr>InterC</vt:lpstr>
      <vt:lpstr>InterD</vt:lpstr>
      <vt:lpstr>IsValid</vt:lpstr>
      <vt:lpstr>KLOC</vt:lpstr>
      <vt:lpstr>ModeList</vt:lpstr>
      <vt:lpstr>MonthlyRate</vt:lpstr>
      <vt:lpstr>NeutralEffort</vt:lpstr>
      <vt:lpstr>OverheadRate</vt:lpstr>
      <vt:lpstr>P_ACAP</vt:lpstr>
      <vt:lpstr>P_AEXP</vt:lpstr>
      <vt:lpstr>P_CPLX</vt:lpstr>
      <vt:lpstr>P_DATA</vt:lpstr>
      <vt:lpstr>P_LEXP</vt:lpstr>
      <vt:lpstr>P_MODP</vt:lpstr>
      <vt:lpstr>P_PCAP</vt:lpstr>
      <vt:lpstr>P_RELY</vt:lpstr>
      <vt:lpstr>P_SCED</vt:lpstr>
      <vt:lpstr>P_STOR</vt:lpstr>
      <vt:lpstr>P_TIME</vt:lpstr>
      <vt:lpstr>P_TOOL</vt:lpstr>
      <vt:lpstr>P_TURN</vt:lpstr>
      <vt:lpstr>P_VEXP</vt:lpstr>
      <vt:lpstr>P_VIRT</vt:lpstr>
      <vt:lpstr>Инструкция!Print_Area</vt:lpstr>
      <vt:lpstr>Калькулятор!Print_Area</vt:lpstr>
      <vt:lpstr>Справочник!Print_Area</vt:lpstr>
      <vt:lpstr>Фазы!Print_Area</vt:lpstr>
      <vt:lpstr>Факторы!Print_Area</vt:lpstr>
      <vt:lpstr>ProjectMode</vt:lpstr>
      <vt:lpstr>ProjectTitle</vt:lpstr>
      <vt:lpstr>R_ACAP</vt:lpstr>
      <vt:lpstr>R_AEXP</vt:lpstr>
      <vt:lpstr>R_CPLX</vt:lpstr>
      <vt:lpstr>R_DATA</vt:lpstr>
      <vt:lpstr>R_LEXP</vt:lpstr>
      <vt:lpstr>R_MODP</vt:lpstr>
      <vt:lpstr>R_PCAP</vt:lpstr>
      <vt:lpstr>R_RELY</vt:lpstr>
      <vt:lpstr>R_SCED</vt:lpstr>
      <vt:lpstr>R_STOR</vt:lpstr>
      <vt:lpstr>R_TIME</vt:lpstr>
      <vt:lpstr>R_TOOL</vt:lpstr>
      <vt:lpstr>R_TURN</vt:lpstr>
      <vt:lpstr>R_VEXP</vt:lpstr>
      <vt:lpstr>R_VIRT</vt:lpstr>
      <vt:lpstr>SizeRaw</vt:lpstr>
      <vt:lpstr>SizeUnit</vt:lpstr>
      <vt:lpstr>UnitList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Калькулятор COCOMO 81</dc:title>
  <dc:subject>Трудозатраты, сроки и стоимость проекта</dc:subject>
  <dc:creator>COCOMO Calculator</dc:creator>
  <dc:description>Автономная книга Excel. Макросы не требуются.</dc:description>
  <cp:lastModifiedBy>COCOMO Calculator</cp:lastModifiedBy>
  <dcterms:created xsi:type="dcterms:W3CDTF">2026-10-21T13:56:52Z</dcterms:created>
  <dcterms:modified xsi:type="dcterms:W3CDTF">2026-10-21T13:56:52Z</dcterms:modified>
</cp:coreProperties>
</file>